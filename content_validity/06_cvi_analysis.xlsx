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tems &amp; Ratings" sheetId="2" state="visible" r:id="rId2"/>
    <sheet name="Summary" sheetId="3" state="visible" r:id="rId3"/>
    <sheet name="Expert Panel" sheetId="4" state="visible" r:id="rId4"/>
  </sheets>
  <definedNames>
    <definedName name="N_EXPERTS">'Expert Panel'!$B$12</definedName>
    <definedName name="CVI_PASS">'Expert Panel'!$B$13</definedName>
    <definedName name="CVI_BORDER">'Expert Panel'!$B$14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Calibri"/>
      <family val="2"/>
      <color theme="1"/>
      <sz val="11"/>
      <scheme val="minor"/>
    </font>
    <font>
      <name val="Arial"/>
      <b val="1"/>
      <color rgb="002D5A3D"/>
      <sz val="18"/>
    </font>
    <font>
      <name val="Arial"/>
      <color rgb="00666666"/>
      <sz val="11"/>
    </font>
    <font>
      <name val="Arial"/>
      <b val="1"/>
      <color rgb="00E27431"/>
      <sz val="12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8000"/>
      <sz val="10"/>
    </font>
    <font>
      <name val="Arial"/>
      <b val="1"/>
      <color rgb="00C77800"/>
      <sz val="10"/>
    </font>
    <font>
      <name val="Arial"/>
      <b val="1"/>
      <color rgb="00CC0000"/>
      <sz val="10"/>
    </font>
    <font>
      <name val="Arial"/>
      <b val="1"/>
      <color rgb="00666666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2"/>
    </font>
    <font>
      <name val="Arial"/>
      <color rgb="00E27431"/>
      <sz val="10"/>
    </font>
    <font>
      <name val="Arial"/>
      <color rgb="00666666"/>
      <sz val="10"/>
    </font>
    <font>
      <name val="Arial"/>
      <color rgb="00888888"/>
      <sz val="9"/>
    </font>
    <font>
      <name val="Arial"/>
      <b val="1"/>
      <color rgb="00E27431"/>
      <sz val="13"/>
    </font>
  </fonts>
  <fills count="12">
    <fill>
      <patternFill/>
    </fill>
    <fill>
      <patternFill patternType="gray125"/>
    </fill>
    <fill>
      <patternFill patternType="solid">
        <fgColor rgb="00F8F4ED"/>
      </patternFill>
    </fill>
    <fill>
      <patternFill patternType="solid">
        <fgColor rgb="00C6F6D5"/>
      </patternFill>
    </fill>
    <fill>
      <patternFill patternType="solid">
        <fgColor rgb="00FFF3CD"/>
      </patternFill>
    </fill>
    <fill>
      <patternFill patternType="solid">
        <fgColor rgb="00FFD6D6"/>
      </patternFill>
    </fill>
    <fill>
      <patternFill patternType="solid">
        <fgColor rgb="00E8E8E8"/>
      </patternFill>
    </fill>
    <fill>
      <patternFill patternType="solid">
        <fgColor rgb="002D5A3D"/>
      </patternFill>
    </fill>
    <fill>
      <patternFill patternType="solid">
        <fgColor rgb="00FFFF99"/>
      </patternFill>
    </fill>
    <fill>
      <patternFill patternType="solid">
        <fgColor rgb="00E27431"/>
      </patternFill>
    </fill>
    <fill>
      <patternFill patternType="solid">
        <fgColor rgb="008B5C2E"/>
      </patternFill>
    </fill>
    <fill>
      <patternFill patternType="solid">
        <fgColor rgb="00FFFDF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dxfs count="7">
    <dxf>
      <font>
        <name val="Arial"/>
        <b val="1"/>
        <color rgb="00008000"/>
      </font>
      <fill>
        <patternFill patternType="solid">
          <fgColor rgb="00C6F6D5"/>
        </patternFill>
      </fill>
    </dxf>
    <dxf>
      <font>
        <name val="Arial"/>
        <b val="1"/>
        <color rgb="00C77800"/>
      </font>
      <fill>
        <patternFill patternType="solid">
          <fgColor rgb="00FFF3CD"/>
        </patternFill>
      </fill>
    </dxf>
    <dxf>
      <font>
        <name val="Arial"/>
        <b val="1"/>
        <color rgb="00CC0000"/>
      </font>
      <fill>
        <patternFill patternType="solid">
          <fgColor rgb="00FFD6D6"/>
        </patternFill>
      </fill>
    </dxf>
    <dxf>
      <font>
        <name val="Arial"/>
        <i val="1"/>
        <color rgb="00666666"/>
      </font>
      <fill>
        <patternFill patternType="solid">
          <fgColor rgb="00E8E8E8"/>
        </patternFill>
      </fill>
    </dxf>
    <dxf>
      <fill>
        <patternFill patternType="solid">
          <fgColor rgb="00C6F6D5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FFD6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AwadhVaani — CVI Analysis Spreadsheet</t>
        </is>
      </c>
    </row>
    <row r="2">
      <c r="A2" s="2" t="inlineStr">
        <is>
          <t>Content Validity Index analysis for the Awadhi language-learning app</t>
        </is>
      </c>
    </row>
    <row r="4">
      <c r="A4" s="3" t="inlineStr">
        <is>
          <t>THE 4-POINT RELEVANCE SCALE</t>
        </is>
      </c>
    </row>
    <row r="5">
      <c r="A5" s="4" t="inlineStr">
        <is>
          <t>1</t>
        </is>
      </c>
      <c r="B5" s="5" t="inlineStr">
        <is>
          <t>Not relevant — does not belong in an Awadhi learning curriculum</t>
        </is>
      </c>
    </row>
    <row r="6">
      <c r="A6" s="4" t="inlineStr">
        <is>
          <t>2</t>
        </is>
      </c>
      <c r="B6" s="5" t="inlineStr">
        <is>
          <t>Somewhat relevant — peripheral, could be omitted</t>
        </is>
      </c>
    </row>
    <row r="7">
      <c r="A7" s="4" t="inlineStr">
        <is>
          <t>3</t>
        </is>
      </c>
      <c r="B7" s="5" t="inlineStr">
        <is>
          <t>Quite relevant — should be included</t>
        </is>
      </c>
    </row>
    <row r="8">
      <c r="A8" s="4" t="inlineStr">
        <is>
          <t>4</t>
        </is>
      </c>
      <c r="B8" s="5" t="inlineStr">
        <is>
          <t>Highly relevant — essential to the curriculum</t>
        </is>
      </c>
    </row>
    <row r="10">
      <c r="A10" s="3" t="inlineStr">
        <is>
          <t>HOW THE METRICS ARE COMPUTED</t>
        </is>
      </c>
    </row>
    <row r="11">
      <c r="A11" s="6" t="inlineStr">
        <is>
          <t>I-CVI</t>
        </is>
      </c>
      <c r="B11" s="5" t="inlineStr">
        <is>
          <t>Item-level CVI = (# experts rating ≥3) / (total # experts)</t>
        </is>
      </c>
    </row>
    <row r="12">
      <c r="A12" s="6" t="inlineStr">
        <is>
          <t>S-CVI/Ave</t>
        </is>
      </c>
      <c r="B12" s="5" t="inlineStr">
        <is>
          <t>Scale-level CVI (average) = mean of all I-CVI values</t>
        </is>
      </c>
    </row>
    <row r="13">
      <c r="A13" s="6" t="inlineStr">
        <is>
          <t>S-CVI/UA</t>
        </is>
      </c>
      <c r="B13" s="5" t="inlineStr">
        <is>
          <t>Universal Agreement CVI = (# items rated ≥3 by ALL experts) / total items</t>
        </is>
      </c>
    </row>
    <row r="14">
      <c r="A14" s="6" t="inlineStr">
        <is>
          <t>Mean</t>
        </is>
      </c>
      <c r="B14" s="5" t="inlineStr">
        <is>
          <t>Average of all expert ratings for the item (informational, not part of CVI)</t>
        </is>
      </c>
    </row>
    <row r="15">
      <c r="A15" s="6" t="inlineStr">
        <is>
          <t>SD</t>
        </is>
      </c>
      <c r="B15" s="5" t="inlineStr">
        <is>
          <t>Standard deviation of expert ratings — high SD = experts disagree</t>
        </is>
      </c>
    </row>
    <row r="16">
      <c r="A16" s="6" t="inlineStr">
        <is>
          <t>Pc</t>
        </is>
      </c>
      <c r="B16" s="5" t="inlineStr">
        <is>
          <t>Chance agreement: COMBIN(N,A) × 0.5^N · where N=experts, A=# rating ≥3</t>
        </is>
      </c>
    </row>
    <row r="17">
      <c r="A17" s="6" t="inlineStr">
        <is>
          <t>κ* (Kappa)</t>
        </is>
      </c>
      <c r="B17" s="5" t="inlineStr">
        <is>
          <t>Modified Kappa = (I-CVI − Pc) / (1 − Pc) · corrects CVI for chance agreement</t>
        </is>
      </c>
    </row>
    <row r="19">
      <c r="A19" s="3" t="inlineStr">
        <is>
          <t>ACCEPTANCE THRESHOLDS</t>
        </is>
      </c>
    </row>
    <row r="20">
      <c r="A20" s="7" t="inlineStr">
        <is>
          <t>I-CVI ≥ 0.78</t>
        </is>
      </c>
      <c r="B20" s="8" t="inlineStr">
        <is>
          <t>PASS — for a panel of 6–10 experts (Lynn, 1986)</t>
        </is>
      </c>
    </row>
    <row r="21">
      <c r="A21" s="7" t="inlineStr">
        <is>
          <t>I-CVI ≥ 0.83</t>
        </is>
      </c>
      <c r="B21" s="8" t="inlineStr">
        <is>
          <t>PASS — for a panel of 3–5 experts (stricter, smaller N)</t>
        </is>
      </c>
    </row>
    <row r="22">
      <c r="A22" s="7" t="inlineStr">
        <is>
          <t>I-CVI 0.60–0.78</t>
        </is>
      </c>
      <c r="B22" s="8" t="inlineStr">
        <is>
          <t>BORDERLINE — needs revision or expert discussion</t>
        </is>
      </c>
    </row>
    <row r="23">
      <c r="A23" s="7" t="inlineStr">
        <is>
          <t>I-CVI &lt; 0.60</t>
        </is>
      </c>
      <c r="B23" s="8" t="inlineStr">
        <is>
          <t>FAIL — revise or drop from curriculum</t>
        </is>
      </c>
    </row>
    <row r="24">
      <c r="A24" s="7" t="inlineStr">
        <is>
          <t>S-CVI/Ave ≥ 0.90</t>
        </is>
      </c>
      <c r="B24" s="8" t="inlineStr">
        <is>
          <t>Excellent — scale is content-valid</t>
        </is>
      </c>
    </row>
    <row r="25">
      <c r="A25" s="7" t="inlineStr">
        <is>
          <t>S-CVI/Ave 0.80–0.89</t>
        </is>
      </c>
      <c r="B25" s="8" t="inlineStr">
        <is>
          <t>Adequate — minor revisions needed</t>
        </is>
      </c>
    </row>
    <row r="26">
      <c r="A26" s="7" t="inlineStr">
        <is>
          <t>S-CVI/UA ≥ 0.80</t>
        </is>
      </c>
      <c r="B26" s="8" t="inlineStr">
        <is>
          <t>Strict universal-agreement target</t>
        </is>
      </c>
    </row>
    <row r="27">
      <c r="A27" s="7" t="inlineStr">
        <is>
          <t>κ* &gt; 0.74</t>
        </is>
      </c>
      <c r="B27" s="8" t="inlineStr">
        <is>
          <t>Excellent agreement (gold standard for publication)</t>
        </is>
      </c>
    </row>
    <row r="28">
      <c r="A28" s="7" t="inlineStr">
        <is>
          <t>κ* 0.60–0.74</t>
        </is>
      </c>
      <c r="B28" s="8" t="inlineStr">
        <is>
          <t>Good</t>
        </is>
      </c>
    </row>
    <row r="29">
      <c r="A29" s="7" t="inlineStr">
        <is>
          <t>κ* &lt; 0.40</t>
        </is>
      </c>
      <c r="B29" s="8" t="inlineStr">
        <is>
          <t>Poor — revise item</t>
        </is>
      </c>
    </row>
    <row r="31">
      <c r="A31" s="3" t="inlineStr">
        <is>
          <t>HOW TO USE THIS WORKBOOK</t>
        </is>
      </c>
    </row>
    <row r="32">
      <c r="A32" s="9" t="inlineStr">
        <is>
          <t>Step 1</t>
        </is>
      </c>
      <c r="B32" s="8" t="inlineStr">
        <is>
          <t>On the "Expert Panel" tab, fill in details for E1–E7 (name, affiliation, background, experience).</t>
        </is>
      </c>
    </row>
    <row r="33">
      <c r="A33" s="9" t="inlineStr">
        <is>
          <t>Step 2</t>
        </is>
      </c>
      <c r="B33" s="8" t="inlineStr">
        <is>
          <t>On the "Items &amp; Ratings" tab, enter each expert's rating (1–4) in their column (H–N) for every item they evaluated.</t>
        </is>
      </c>
    </row>
    <row r="34">
      <c r="A34" s="9" t="inlineStr">
        <is>
          <t>Step 3</t>
        </is>
      </c>
      <c r="B34" s="8" t="inlineStr">
        <is>
          <t>I-CVI, Mean, SD, Pc, κ*, and Status auto-compute as ratings are entered.</t>
        </is>
      </c>
    </row>
    <row r="35">
      <c r="A35" s="9" t="inlineStr">
        <is>
          <t>Step 4</t>
        </is>
      </c>
      <c r="B35" s="8" t="inlineStr">
        <is>
          <t>The "Summary" tab updates automatically: S-CVI/Ave, S-CVI/UA, mean κ*, pass/borderline/fail counts, per-type breakdown.</t>
        </is>
      </c>
    </row>
    <row r="36">
      <c r="A36" s="9" t="inlineStr">
        <is>
          <t>Step 5</t>
        </is>
      </c>
      <c r="B36" s="8" t="inlineStr">
        <is>
          <t>Items marked FAIL or BORDERLINE go in your revision queue. Item-level κ* &lt; 0.40 should be revised or dropped.</t>
        </is>
      </c>
    </row>
    <row r="37">
      <c r="A37" s="9" t="inlineStr">
        <is>
          <t>Step 6</t>
        </is>
      </c>
      <c r="B37" s="8" t="inlineStr">
        <is>
          <t>Use the "Summary" numbers as the headline result in your validity report.</t>
        </is>
      </c>
    </row>
    <row r="39">
      <c r="A39" s="3" t="inlineStr">
        <is>
          <t>COLOR LEGEND (in the Items tab)</t>
        </is>
      </c>
    </row>
    <row r="40">
      <c r="A40" s="10" t="inlineStr">
        <is>
          <t>PASS</t>
        </is>
      </c>
      <c r="B40" s="8" t="inlineStr">
        <is>
          <t>I-CVI ≥ 0.78 — item is content-valid</t>
        </is>
      </c>
    </row>
    <row r="41">
      <c r="A41" s="11" t="inlineStr">
        <is>
          <t>BORDERLINE</t>
        </is>
      </c>
      <c r="B41" s="8" t="inlineStr">
        <is>
          <t>I-CVI 0.60–0.78 — needs discussion</t>
        </is>
      </c>
    </row>
    <row r="42">
      <c r="A42" s="12" t="inlineStr">
        <is>
          <t>FAIL</t>
        </is>
      </c>
      <c r="B42" s="8" t="inlineStr">
        <is>
          <t>I-CVI &lt; 0.60 — revise or drop</t>
        </is>
      </c>
    </row>
    <row r="43">
      <c r="A43" s="13" t="inlineStr">
        <is>
          <t>Awaiting</t>
        </is>
      </c>
      <c r="B43" s="8" t="inlineStr">
        <is>
          <t>No expert ratings entered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6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8" customWidth="1" min="3" max="3"/>
    <col width="16" customWidth="1" min="4" max="4"/>
    <col width="26" customWidth="1" min="5" max="5"/>
    <col width="18" customWidth="1" min="6" max="6"/>
    <col width="34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8" customWidth="1" min="16" max="16"/>
    <col width="7" customWidth="1" min="17" max="17"/>
    <col width="7" customWidth="1" min="18" max="18"/>
    <col width="8" customWidth="1" min="19" max="19"/>
    <col width="8" customWidth="1" min="20" max="20"/>
    <col width="14" customWidth="1" min="21" max="21"/>
  </cols>
  <sheetData>
    <row r="1" ht="30" customHeight="1">
      <c r="A1" s="14" t="inlineStr">
        <is>
          <t>Item ID</t>
        </is>
      </c>
      <c r="B1" s="14" t="inlineStr">
        <is>
          <t>Type</t>
        </is>
      </c>
      <c r="C1" s="14" t="inlineStr">
        <is>
          <t>Awadhi</t>
        </is>
      </c>
      <c r="D1" s="14" t="inlineStr">
        <is>
          <t>Roman</t>
        </is>
      </c>
      <c r="E1" s="14" t="inlineStr">
        <is>
          <t>English</t>
        </is>
      </c>
      <c r="F1" s="14" t="inlineStr">
        <is>
          <t>Category</t>
        </is>
      </c>
      <c r="G1" s="14" t="inlineStr">
        <is>
          <t>Context</t>
        </is>
      </c>
      <c r="H1" s="15" t="inlineStr">
        <is>
          <t>E1</t>
        </is>
      </c>
      <c r="I1" s="15" t="inlineStr">
        <is>
          <t>E2</t>
        </is>
      </c>
      <c r="J1" s="15" t="inlineStr">
        <is>
          <t>E3</t>
        </is>
      </c>
      <c r="K1" s="15" t="inlineStr">
        <is>
          <t>E4</t>
        </is>
      </c>
      <c r="L1" s="15" t="inlineStr">
        <is>
          <t>E5</t>
        </is>
      </c>
      <c r="M1" s="15" t="inlineStr">
        <is>
          <t>E6</t>
        </is>
      </c>
      <c r="N1" s="15" t="inlineStr">
        <is>
          <t>E7</t>
        </is>
      </c>
      <c r="O1" s="16" t="inlineStr">
        <is>
          <t># ≥3</t>
        </is>
      </c>
      <c r="P1" s="16" t="inlineStr">
        <is>
          <t>I-CVI</t>
        </is>
      </c>
      <c r="Q1" s="16" t="inlineStr">
        <is>
          <t>Mean</t>
        </is>
      </c>
      <c r="R1" s="16" t="inlineStr">
        <is>
          <t>SD</t>
        </is>
      </c>
      <c r="S1" s="16" t="inlineStr">
        <is>
          <t>Pc</t>
        </is>
      </c>
      <c r="T1" s="16" t="inlineStr">
        <is>
          <t>κ*</t>
        </is>
      </c>
      <c r="U1" s="16" t="inlineStr">
        <is>
          <t>Status</t>
        </is>
      </c>
    </row>
    <row r="2">
      <c r="A2" s="9" t="inlineStr">
        <is>
          <t>V001</t>
        </is>
      </c>
      <c r="B2" s="17" t="inlineStr">
        <is>
          <t>Vocabulary</t>
        </is>
      </c>
      <c r="C2" s="18" t="inlineStr">
        <is>
          <t>घर</t>
        </is>
      </c>
      <c r="D2" s="19" t="inlineStr">
        <is>
          <t>Ghar</t>
        </is>
      </c>
      <c r="E2" s="20" t="inlineStr">
        <is>
          <t>House / Home</t>
        </is>
      </c>
      <c r="F2" s="17" t="inlineStr">
        <is>
          <t>Home</t>
        </is>
      </c>
      <c r="G2" s="21" t="inlineStr"/>
      <c r="H2" s="22" t="inlineStr"/>
      <c r="I2" s="22" t="inlineStr"/>
      <c r="J2" s="22" t="inlineStr"/>
      <c r="K2" s="22" t="inlineStr"/>
      <c r="L2" s="22" t="inlineStr"/>
      <c r="M2" s="22" t="inlineStr"/>
      <c r="N2" s="22" t="inlineStr"/>
      <c r="O2" s="23">
        <f>COUNTIF(H2:N2,"&gt;=3")</f>
        <v/>
      </c>
      <c r="P2" s="24">
        <f>IF(COUNT(H2:N2)=0,"",COUNTIF(H2:N2,"&gt;=3")/COUNT(H2:N2))</f>
        <v/>
      </c>
      <c r="Q2" s="25">
        <f>IF(COUNT(H2:N2)=0,"",AVERAGE(H2:N2))</f>
        <v/>
      </c>
      <c r="R2" s="25">
        <f>IF(COUNT(H2:N2)&lt;2,"",STDEV(H2:N2))</f>
        <v/>
      </c>
      <c r="S2" s="26">
        <f>IF(COUNT(H2:N2)=0,"",COMBIN(COUNT(H2:N2),COUNTIF(H2:N2,"&gt;=3"))*0.5^COUNT(H2:N2))</f>
        <v/>
      </c>
      <c r="T2" s="25">
        <f>IFERROR(IF(P2="","",(P2-S2)/(1-S2)),"")</f>
        <v/>
      </c>
      <c r="U2" s="27">
        <f>IF(P2="","Awaiting",IF(P2&gt;=CVI_PASS,"PASS",IF(P2&gt;=CVI_BORDER,"BORDERLINE","FAIL")))</f>
        <v/>
      </c>
    </row>
    <row r="3">
      <c r="A3" s="9" t="inlineStr">
        <is>
          <t>V002</t>
        </is>
      </c>
      <c r="B3" s="17" t="inlineStr">
        <is>
          <t>Vocabulary</t>
        </is>
      </c>
      <c r="C3" s="18" t="inlineStr">
        <is>
          <t>कमरा</t>
        </is>
      </c>
      <c r="D3" s="19" t="inlineStr">
        <is>
          <t>Kamra</t>
        </is>
      </c>
      <c r="E3" s="20" t="inlineStr">
        <is>
          <t>Room</t>
        </is>
      </c>
      <c r="F3" s="17" t="inlineStr">
        <is>
          <t>Home</t>
        </is>
      </c>
      <c r="G3" s="21" t="inlineStr"/>
      <c r="H3" s="22" t="inlineStr"/>
      <c r="I3" s="22" t="inlineStr"/>
      <c r="J3" s="22" t="inlineStr"/>
      <c r="K3" s="22" t="inlineStr"/>
      <c r="L3" s="22" t="inlineStr"/>
      <c r="M3" s="22" t="inlineStr"/>
      <c r="N3" s="22" t="inlineStr"/>
      <c r="O3" s="23">
        <f>COUNTIF(H3:N3,"&gt;=3")</f>
        <v/>
      </c>
      <c r="P3" s="24">
        <f>IF(COUNT(H3:N3)=0,"",COUNTIF(H3:N3,"&gt;=3")/COUNT(H3:N3))</f>
        <v/>
      </c>
      <c r="Q3" s="25">
        <f>IF(COUNT(H3:N3)=0,"",AVERAGE(H3:N3))</f>
        <v/>
      </c>
      <c r="R3" s="25">
        <f>IF(COUNT(H3:N3)&lt;2,"",STDEV(H3:N3))</f>
        <v/>
      </c>
      <c r="S3" s="26">
        <f>IF(COUNT(H3:N3)=0,"",COMBIN(COUNT(H3:N3),COUNTIF(H3:N3,"&gt;=3"))*0.5^COUNT(H3:N3))</f>
        <v/>
      </c>
      <c r="T3" s="25">
        <f>IFERROR(IF(P3="","",(P3-S3)/(1-S3)),"")</f>
        <v/>
      </c>
      <c r="U3" s="27">
        <f>IF(P3="","Awaiting",IF(P3&gt;=CVI_PASS,"PASS",IF(P3&gt;=CVI_BORDER,"BORDERLINE","FAIL")))</f>
        <v/>
      </c>
    </row>
    <row r="4">
      <c r="A4" s="9" t="inlineStr">
        <is>
          <t>V003</t>
        </is>
      </c>
      <c r="B4" s="17" t="inlineStr">
        <is>
          <t>Vocabulary</t>
        </is>
      </c>
      <c r="C4" s="18" t="inlineStr">
        <is>
          <t>झाडू</t>
        </is>
      </c>
      <c r="D4" s="19" t="inlineStr">
        <is>
          <t>Jhaadu</t>
        </is>
      </c>
      <c r="E4" s="20" t="inlineStr">
        <is>
          <t>Broom</t>
        </is>
      </c>
      <c r="F4" s="17" t="inlineStr">
        <is>
          <t>Home</t>
        </is>
      </c>
      <c r="G4" s="21" t="inlineStr"/>
      <c r="H4" s="22" t="inlineStr"/>
      <c r="I4" s="22" t="inlineStr"/>
      <c r="J4" s="22" t="inlineStr"/>
      <c r="K4" s="22" t="inlineStr"/>
      <c r="L4" s="22" t="inlineStr"/>
      <c r="M4" s="22" t="inlineStr"/>
      <c r="N4" s="22" t="inlineStr"/>
      <c r="O4" s="23">
        <f>COUNTIF(H4:N4,"&gt;=3")</f>
        <v/>
      </c>
      <c r="P4" s="24">
        <f>IF(COUNT(H4:N4)=0,"",COUNTIF(H4:N4,"&gt;=3")/COUNT(H4:N4))</f>
        <v/>
      </c>
      <c r="Q4" s="25">
        <f>IF(COUNT(H4:N4)=0,"",AVERAGE(H4:N4))</f>
        <v/>
      </c>
      <c r="R4" s="25">
        <f>IF(COUNT(H4:N4)&lt;2,"",STDEV(H4:N4))</f>
        <v/>
      </c>
      <c r="S4" s="26">
        <f>IF(COUNT(H4:N4)=0,"",COMBIN(COUNT(H4:N4),COUNTIF(H4:N4,"&gt;=3"))*0.5^COUNT(H4:N4))</f>
        <v/>
      </c>
      <c r="T4" s="25">
        <f>IFERROR(IF(P4="","",(P4-S4)/(1-S4)),"")</f>
        <v/>
      </c>
      <c r="U4" s="27">
        <f>IF(P4="","Awaiting",IF(P4&gt;=CVI_PASS,"PASS",IF(P4&gt;=CVI_BORDER,"BORDERLINE","FAIL")))</f>
        <v/>
      </c>
    </row>
    <row r="5">
      <c r="A5" s="9" t="inlineStr">
        <is>
          <t>V004</t>
        </is>
      </c>
      <c r="B5" s="17" t="inlineStr">
        <is>
          <t>Vocabulary</t>
        </is>
      </c>
      <c r="C5" s="18" t="inlineStr">
        <is>
          <t>टैंक</t>
        </is>
      </c>
      <c r="D5" s="19" t="inlineStr">
        <is>
          <t>Tank</t>
        </is>
      </c>
      <c r="E5" s="20" t="inlineStr">
        <is>
          <t>Tank / Reservoir</t>
        </is>
      </c>
      <c r="F5" s="17" t="inlineStr">
        <is>
          <t>Home</t>
        </is>
      </c>
      <c r="G5" s="21" t="inlineStr"/>
      <c r="H5" s="22" t="inlineStr"/>
      <c r="I5" s="22" t="inlineStr"/>
      <c r="J5" s="22" t="inlineStr"/>
      <c r="K5" s="22" t="inlineStr"/>
      <c r="L5" s="22" t="inlineStr"/>
      <c r="M5" s="22" t="inlineStr"/>
      <c r="N5" s="22" t="inlineStr"/>
      <c r="O5" s="23">
        <f>COUNTIF(H5:N5,"&gt;=3")</f>
        <v/>
      </c>
      <c r="P5" s="24">
        <f>IF(COUNT(H5:N5)=0,"",COUNTIF(H5:N5,"&gt;=3")/COUNT(H5:N5))</f>
        <v/>
      </c>
      <c r="Q5" s="25">
        <f>IF(COUNT(H5:N5)=0,"",AVERAGE(H5:N5))</f>
        <v/>
      </c>
      <c r="R5" s="25">
        <f>IF(COUNT(H5:N5)&lt;2,"",STDEV(H5:N5))</f>
        <v/>
      </c>
      <c r="S5" s="26">
        <f>IF(COUNT(H5:N5)=0,"",COMBIN(COUNT(H5:N5),COUNTIF(H5:N5,"&gt;=3"))*0.5^COUNT(H5:N5))</f>
        <v/>
      </c>
      <c r="T5" s="25">
        <f>IFERROR(IF(P5="","",(P5-S5)/(1-S5)),"")</f>
        <v/>
      </c>
      <c r="U5" s="27">
        <f>IF(P5="","Awaiting",IF(P5&gt;=CVI_PASS,"PASS",IF(P5&gt;=CVI_BORDER,"BORDERLINE","FAIL")))</f>
        <v/>
      </c>
    </row>
    <row r="6">
      <c r="A6" s="9" t="inlineStr">
        <is>
          <t>V005</t>
        </is>
      </c>
      <c r="B6" s="17" t="inlineStr">
        <is>
          <t>Vocabulary</t>
        </is>
      </c>
      <c r="C6" s="18" t="inlineStr">
        <is>
          <t>रस्सी</t>
        </is>
      </c>
      <c r="D6" s="19" t="inlineStr">
        <is>
          <t>Rassi</t>
        </is>
      </c>
      <c r="E6" s="20" t="inlineStr">
        <is>
          <t>Rope</t>
        </is>
      </c>
      <c r="F6" s="17" t="inlineStr">
        <is>
          <t>Home</t>
        </is>
      </c>
      <c r="G6" s="21" t="inlineStr"/>
      <c r="H6" s="22" t="inlineStr"/>
      <c r="I6" s="22" t="inlineStr"/>
      <c r="J6" s="22" t="inlineStr"/>
      <c r="K6" s="22" t="inlineStr"/>
      <c r="L6" s="22" t="inlineStr"/>
      <c r="M6" s="22" t="inlineStr"/>
      <c r="N6" s="22" t="inlineStr"/>
      <c r="O6" s="23">
        <f>COUNTIF(H6:N6,"&gt;=3")</f>
        <v/>
      </c>
      <c r="P6" s="24">
        <f>IF(COUNT(H6:N6)=0,"",COUNTIF(H6:N6,"&gt;=3")/COUNT(H6:N6))</f>
        <v/>
      </c>
      <c r="Q6" s="25">
        <f>IF(COUNT(H6:N6)=0,"",AVERAGE(H6:N6))</f>
        <v/>
      </c>
      <c r="R6" s="25">
        <f>IF(COUNT(H6:N6)&lt;2,"",STDEV(H6:N6))</f>
        <v/>
      </c>
      <c r="S6" s="26">
        <f>IF(COUNT(H6:N6)=0,"",COMBIN(COUNT(H6:N6),COUNTIF(H6:N6,"&gt;=3"))*0.5^COUNT(H6:N6))</f>
        <v/>
      </c>
      <c r="T6" s="25">
        <f>IFERROR(IF(P6="","",(P6-S6)/(1-S6)),"")</f>
        <v/>
      </c>
      <c r="U6" s="27">
        <f>IF(P6="","Awaiting",IF(P6&gt;=CVI_PASS,"PASS",IF(P6&gt;=CVI_BORDER,"BORDERLINE","FAIL")))</f>
        <v/>
      </c>
    </row>
    <row r="7">
      <c r="A7" s="9" t="inlineStr">
        <is>
          <t>V006</t>
        </is>
      </c>
      <c r="B7" s="17" t="inlineStr">
        <is>
          <t>Vocabulary</t>
        </is>
      </c>
      <c r="C7" s="18" t="inlineStr">
        <is>
          <t>कुण्डा</t>
        </is>
      </c>
      <c r="D7" s="19" t="inlineStr">
        <is>
          <t>Kunda</t>
        </is>
      </c>
      <c r="E7" s="20" t="inlineStr">
        <is>
          <t>Latch / Lock</t>
        </is>
      </c>
      <c r="F7" s="17" t="inlineStr">
        <is>
          <t>Home</t>
        </is>
      </c>
      <c r="G7" s="21" t="inlineStr"/>
      <c r="H7" s="22" t="inlineStr"/>
      <c r="I7" s="22" t="inlineStr"/>
      <c r="J7" s="22" t="inlineStr"/>
      <c r="K7" s="22" t="inlineStr"/>
      <c r="L7" s="22" t="inlineStr"/>
      <c r="M7" s="22" t="inlineStr"/>
      <c r="N7" s="22" t="inlineStr"/>
      <c r="O7" s="23">
        <f>COUNTIF(H7:N7,"&gt;=3")</f>
        <v/>
      </c>
      <c r="P7" s="24">
        <f>IF(COUNT(H7:N7)=0,"",COUNTIF(H7:N7,"&gt;=3")/COUNT(H7:N7))</f>
        <v/>
      </c>
      <c r="Q7" s="25">
        <f>IF(COUNT(H7:N7)=0,"",AVERAGE(H7:N7))</f>
        <v/>
      </c>
      <c r="R7" s="25">
        <f>IF(COUNT(H7:N7)&lt;2,"",STDEV(H7:N7))</f>
        <v/>
      </c>
      <c r="S7" s="26">
        <f>IF(COUNT(H7:N7)=0,"",COMBIN(COUNT(H7:N7),COUNTIF(H7:N7,"&gt;=3"))*0.5^COUNT(H7:N7))</f>
        <v/>
      </c>
      <c r="T7" s="25">
        <f>IFERROR(IF(P7="","",(P7-S7)/(1-S7)),"")</f>
        <v/>
      </c>
      <c r="U7" s="27">
        <f>IF(P7="","Awaiting",IF(P7&gt;=CVI_PASS,"PASS",IF(P7&gt;=CVI_BORDER,"BORDERLINE","FAIL")))</f>
        <v/>
      </c>
    </row>
    <row r="8">
      <c r="A8" s="9" t="inlineStr">
        <is>
          <t>V007</t>
        </is>
      </c>
      <c r="B8" s="17" t="inlineStr">
        <is>
          <t>Vocabulary</t>
        </is>
      </c>
      <c r="C8" s="18" t="inlineStr">
        <is>
          <t>पानी</t>
        </is>
      </c>
      <c r="D8" s="19" t="inlineStr">
        <is>
          <t>Paani</t>
        </is>
      </c>
      <c r="E8" s="20" t="inlineStr">
        <is>
          <t>Water</t>
        </is>
      </c>
      <c r="F8" s="17" t="inlineStr">
        <is>
          <t>Home</t>
        </is>
      </c>
      <c r="G8" s="21" t="inlineStr"/>
      <c r="H8" s="22" t="inlineStr"/>
      <c r="I8" s="22" t="inlineStr"/>
      <c r="J8" s="22" t="inlineStr"/>
      <c r="K8" s="22" t="inlineStr"/>
      <c r="L8" s="22" t="inlineStr"/>
      <c r="M8" s="22" t="inlineStr"/>
      <c r="N8" s="22" t="inlineStr"/>
      <c r="O8" s="23">
        <f>COUNTIF(H8:N8,"&gt;=3")</f>
        <v/>
      </c>
      <c r="P8" s="24">
        <f>IF(COUNT(H8:N8)=0,"",COUNTIF(H8:N8,"&gt;=3")/COUNT(H8:N8))</f>
        <v/>
      </c>
      <c r="Q8" s="25">
        <f>IF(COUNT(H8:N8)=0,"",AVERAGE(H8:N8))</f>
        <v/>
      </c>
      <c r="R8" s="25">
        <f>IF(COUNT(H8:N8)&lt;2,"",STDEV(H8:N8))</f>
        <v/>
      </c>
      <c r="S8" s="26">
        <f>IF(COUNT(H8:N8)=0,"",COMBIN(COUNT(H8:N8),COUNTIF(H8:N8,"&gt;=3"))*0.5^COUNT(H8:N8))</f>
        <v/>
      </c>
      <c r="T8" s="25">
        <f>IFERROR(IF(P8="","",(P8-S8)/(1-S8)),"")</f>
        <v/>
      </c>
      <c r="U8" s="27">
        <f>IF(P8="","Awaiting",IF(P8&gt;=CVI_PASS,"PASS",IF(P8&gt;=CVI_BORDER,"BORDERLINE","FAIL")))</f>
        <v/>
      </c>
    </row>
    <row r="9">
      <c r="A9" s="9" t="inlineStr">
        <is>
          <t>V008</t>
        </is>
      </c>
      <c r="B9" s="17" t="inlineStr">
        <is>
          <t>Vocabulary</t>
        </is>
      </c>
      <c r="C9" s="18" t="inlineStr">
        <is>
          <t>भाय</t>
        </is>
      </c>
      <c r="D9" s="19" t="inlineStr">
        <is>
          <t>Bhaay</t>
        </is>
      </c>
      <c r="E9" s="20" t="inlineStr">
        <is>
          <t>Brother</t>
        </is>
      </c>
      <c r="F9" s="17" t="inlineStr">
        <is>
          <t>Family</t>
        </is>
      </c>
      <c r="G9" s="21" t="inlineStr"/>
      <c r="H9" s="22" t="inlineStr"/>
      <c r="I9" s="22" t="inlineStr"/>
      <c r="J9" s="22" t="inlineStr"/>
      <c r="K9" s="22" t="inlineStr"/>
      <c r="L9" s="22" t="inlineStr"/>
      <c r="M9" s="22" t="inlineStr"/>
      <c r="N9" s="22" t="inlineStr"/>
      <c r="O9" s="23">
        <f>COUNTIF(H9:N9,"&gt;=3")</f>
        <v/>
      </c>
      <c r="P9" s="24">
        <f>IF(COUNT(H9:N9)=0,"",COUNTIF(H9:N9,"&gt;=3")/COUNT(H9:N9))</f>
        <v/>
      </c>
      <c r="Q9" s="25">
        <f>IF(COUNT(H9:N9)=0,"",AVERAGE(H9:N9))</f>
        <v/>
      </c>
      <c r="R9" s="25">
        <f>IF(COUNT(H9:N9)&lt;2,"",STDEV(H9:N9))</f>
        <v/>
      </c>
      <c r="S9" s="26">
        <f>IF(COUNT(H9:N9)=0,"",COMBIN(COUNT(H9:N9),COUNTIF(H9:N9,"&gt;=3"))*0.5^COUNT(H9:N9))</f>
        <v/>
      </c>
      <c r="T9" s="25">
        <f>IFERROR(IF(P9="","",(P9-S9)/(1-S9)),"")</f>
        <v/>
      </c>
      <c r="U9" s="27">
        <f>IF(P9="","Awaiting",IF(P9&gt;=CVI_PASS,"PASS",IF(P9&gt;=CVI_BORDER,"BORDERLINE","FAIL")))</f>
        <v/>
      </c>
    </row>
    <row r="10">
      <c r="A10" s="9" t="inlineStr">
        <is>
          <t>V009</t>
        </is>
      </c>
      <c r="B10" s="17" t="inlineStr">
        <is>
          <t>Vocabulary</t>
        </is>
      </c>
      <c r="C10" s="18" t="inlineStr">
        <is>
          <t>बहिन</t>
        </is>
      </c>
      <c r="D10" s="19" t="inlineStr">
        <is>
          <t>Bahin</t>
        </is>
      </c>
      <c r="E10" s="20" t="inlineStr">
        <is>
          <t>Sister</t>
        </is>
      </c>
      <c r="F10" s="17" t="inlineStr">
        <is>
          <t>Family</t>
        </is>
      </c>
      <c r="G10" s="21" t="inlineStr"/>
      <c r="H10" s="22" t="inlineStr"/>
      <c r="I10" s="22" t="inlineStr"/>
      <c r="J10" s="22" t="inlineStr"/>
      <c r="K10" s="22" t="inlineStr"/>
      <c r="L10" s="22" t="inlineStr"/>
      <c r="M10" s="22" t="inlineStr"/>
      <c r="N10" s="22" t="inlineStr"/>
      <c r="O10" s="23">
        <f>COUNTIF(H10:N10,"&gt;=3")</f>
        <v/>
      </c>
      <c r="P10" s="24">
        <f>IF(COUNT(H10:N10)=0,"",COUNTIF(H10:N10,"&gt;=3")/COUNT(H10:N10))</f>
        <v/>
      </c>
      <c r="Q10" s="25">
        <f>IF(COUNT(H10:N10)=0,"",AVERAGE(H10:N10))</f>
        <v/>
      </c>
      <c r="R10" s="25">
        <f>IF(COUNT(H10:N10)&lt;2,"",STDEV(H10:N10))</f>
        <v/>
      </c>
      <c r="S10" s="26">
        <f>IF(COUNT(H10:N10)=0,"",COMBIN(COUNT(H10:N10),COUNTIF(H10:N10,"&gt;=3"))*0.5^COUNT(H10:N10))</f>
        <v/>
      </c>
      <c r="T10" s="25">
        <f>IFERROR(IF(P10="","",(P10-S10)/(1-S10)),"")</f>
        <v/>
      </c>
      <c r="U10" s="27">
        <f>IF(P10="","Awaiting",IF(P10&gt;=CVI_PASS,"PASS",IF(P10&gt;=CVI_BORDER,"BORDERLINE","FAIL")))</f>
        <v/>
      </c>
    </row>
    <row r="11">
      <c r="A11" s="9" t="inlineStr">
        <is>
          <t>V010</t>
        </is>
      </c>
      <c r="B11" s="17" t="inlineStr">
        <is>
          <t>Vocabulary</t>
        </is>
      </c>
      <c r="C11" s="18" t="inlineStr">
        <is>
          <t>अम्मा</t>
        </is>
      </c>
      <c r="D11" s="19" t="inlineStr">
        <is>
          <t>Amma</t>
        </is>
      </c>
      <c r="E11" s="20" t="inlineStr">
        <is>
          <t>Mother</t>
        </is>
      </c>
      <c r="F11" s="17" t="inlineStr">
        <is>
          <t>Family</t>
        </is>
      </c>
      <c r="G11" s="21" t="inlineStr"/>
      <c r="H11" s="22" t="inlineStr"/>
      <c r="I11" s="22" t="inlineStr"/>
      <c r="J11" s="22" t="inlineStr"/>
      <c r="K11" s="22" t="inlineStr"/>
      <c r="L11" s="22" t="inlineStr"/>
      <c r="M11" s="22" t="inlineStr"/>
      <c r="N11" s="22" t="inlineStr"/>
      <c r="O11" s="23">
        <f>COUNTIF(H11:N11,"&gt;=3")</f>
        <v/>
      </c>
      <c r="P11" s="24">
        <f>IF(COUNT(H11:N11)=0,"",COUNTIF(H11:N11,"&gt;=3")/COUNT(H11:N11))</f>
        <v/>
      </c>
      <c r="Q11" s="25">
        <f>IF(COUNT(H11:N11)=0,"",AVERAGE(H11:N11))</f>
        <v/>
      </c>
      <c r="R11" s="25">
        <f>IF(COUNT(H11:N11)&lt;2,"",STDEV(H11:N11))</f>
        <v/>
      </c>
      <c r="S11" s="26">
        <f>IF(COUNT(H11:N11)=0,"",COMBIN(COUNT(H11:N11),COUNTIF(H11:N11,"&gt;=3"))*0.5^COUNT(H11:N11))</f>
        <v/>
      </c>
      <c r="T11" s="25">
        <f>IFERROR(IF(P11="","",(P11-S11)/(1-S11)),"")</f>
        <v/>
      </c>
      <c r="U11" s="27">
        <f>IF(P11="","Awaiting",IF(P11&gt;=CVI_PASS,"PASS",IF(P11&gt;=CVI_BORDER,"BORDERLINE","FAIL")))</f>
        <v/>
      </c>
    </row>
    <row r="12">
      <c r="A12" s="9" t="inlineStr">
        <is>
          <t>V011</t>
        </is>
      </c>
      <c r="B12" s="17" t="inlineStr">
        <is>
          <t>Vocabulary</t>
        </is>
      </c>
      <c r="C12" s="18" t="inlineStr">
        <is>
          <t>महतारी</t>
        </is>
      </c>
      <c r="D12" s="19" t="inlineStr">
        <is>
          <t>Mahtari</t>
        </is>
      </c>
      <c r="E12" s="20" t="inlineStr">
        <is>
          <t>Mother (dialectal)</t>
        </is>
      </c>
      <c r="F12" s="17" t="inlineStr">
        <is>
          <t>Family</t>
        </is>
      </c>
      <c r="G12" s="21" t="inlineStr"/>
      <c r="H12" s="22" t="inlineStr"/>
      <c r="I12" s="22" t="inlineStr"/>
      <c r="J12" s="22" t="inlineStr"/>
      <c r="K12" s="22" t="inlineStr"/>
      <c r="L12" s="22" t="inlineStr"/>
      <c r="M12" s="22" t="inlineStr"/>
      <c r="N12" s="22" t="inlineStr"/>
      <c r="O12" s="23">
        <f>COUNTIF(H12:N12,"&gt;=3")</f>
        <v/>
      </c>
      <c r="P12" s="24">
        <f>IF(COUNT(H12:N12)=0,"",COUNTIF(H12:N12,"&gt;=3")/COUNT(H12:N12))</f>
        <v/>
      </c>
      <c r="Q12" s="25">
        <f>IF(COUNT(H12:N12)=0,"",AVERAGE(H12:N12))</f>
        <v/>
      </c>
      <c r="R12" s="25">
        <f>IF(COUNT(H12:N12)&lt;2,"",STDEV(H12:N12))</f>
        <v/>
      </c>
      <c r="S12" s="26">
        <f>IF(COUNT(H12:N12)=0,"",COMBIN(COUNT(H12:N12),COUNTIF(H12:N12,"&gt;=3"))*0.5^COUNT(H12:N12))</f>
        <v/>
      </c>
      <c r="T12" s="25">
        <f>IFERROR(IF(P12="","",(P12-S12)/(1-S12)),"")</f>
        <v/>
      </c>
      <c r="U12" s="27">
        <f>IF(P12="","Awaiting",IF(P12&gt;=CVI_PASS,"PASS",IF(P12&gt;=CVI_BORDER,"BORDERLINE","FAIL")))</f>
        <v/>
      </c>
    </row>
    <row r="13">
      <c r="A13" s="9" t="inlineStr">
        <is>
          <t>V012</t>
        </is>
      </c>
      <c r="B13" s="17" t="inlineStr">
        <is>
          <t>Vocabulary</t>
        </is>
      </c>
      <c r="C13" s="18" t="inlineStr">
        <is>
          <t>बाप</t>
        </is>
      </c>
      <c r="D13" s="19" t="inlineStr">
        <is>
          <t>Baap</t>
        </is>
      </c>
      <c r="E13" s="20" t="inlineStr">
        <is>
          <t>Father</t>
        </is>
      </c>
      <c r="F13" s="17" t="inlineStr">
        <is>
          <t>Family</t>
        </is>
      </c>
      <c r="G13" s="21" t="inlineStr"/>
      <c r="H13" s="22" t="inlineStr"/>
      <c r="I13" s="22" t="inlineStr"/>
      <c r="J13" s="22" t="inlineStr"/>
      <c r="K13" s="22" t="inlineStr"/>
      <c r="L13" s="22" t="inlineStr"/>
      <c r="M13" s="22" t="inlineStr"/>
      <c r="N13" s="22" t="inlineStr"/>
      <c r="O13" s="23">
        <f>COUNTIF(H13:N13,"&gt;=3")</f>
        <v/>
      </c>
      <c r="P13" s="24">
        <f>IF(COUNT(H13:N13)=0,"",COUNTIF(H13:N13,"&gt;=3")/COUNT(H13:N13))</f>
        <v/>
      </c>
      <c r="Q13" s="25">
        <f>IF(COUNT(H13:N13)=0,"",AVERAGE(H13:N13))</f>
        <v/>
      </c>
      <c r="R13" s="25">
        <f>IF(COUNT(H13:N13)&lt;2,"",STDEV(H13:N13))</f>
        <v/>
      </c>
      <c r="S13" s="26">
        <f>IF(COUNT(H13:N13)=0,"",COMBIN(COUNT(H13:N13),COUNTIF(H13:N13,"&gt;=3"))*0.5^COUNT(H13:N13))</f>
        <v/>
      </c>
      <c r="T13" s="25">
        <f>IFERROR(IF(P13="","",(P13-S13)/(1-S13)),"")</f>
        <v/>
      </c>
      <c r="U13" s="27">
        <f>IF(P13="","Awaiting",IF(P13&gt;=CVI_PASS,"PASS",IF(P13&gt;=CVI_BORDER,"BORDERLINE","FAIL")))</f>
        <v/>
      </c>
    </row>
    <row r="14">
      <c r="A14" s="9" t="inlineStr">
        <is>
          <t>V013</t>
        </is>
      </c>
      <c r="B14" s="17" t="inlineStr">
        <is>
          <t>Vocabulary</t>
        </is>
      </c>
      <c r="C14" s="18" t="inlineStr">
        <is>
          <t>दोस्त</t>
        </is>
      </c>
      <c r="D14" s="19" t="inlineStr">
        <is>
          <t>Dost</t>
        </is>
      </c>
      <c r="E14" s="20" t="inlineStr">
        <is>
          <t>Friend</t>
        </is>
      </c>
      <c r="F14" s="17" t="inlineStr">
        <is>
          <t>Family</t>
        </is>
      </c>
      <c r="G14" s="21" t="inlineStr"/>
      <c r="H14" s="22" t="inlineStr"/>
      <c r="I14" s="22" t="inlineStr"/>
      <c r="J14" s="22" t="inlineStr"/>
      <c r="K14" s="22" t="inlineStr"/>
      <c r="L14" s="22" t="inlineStr"/>
      <c r="M14" s="22" t="inlineStr"/>
      <c r="N14" s="22" t="inlineStr"/>
      <c r="O14" s="23">
        <f>COUNTIF(H14:N14,"&gt;=3")</f>
        <v/>
      </c>
      <c r="P14" s="24">
        <f>IF(COUNT(H14:N14)=0,"",COUNTIF(H14:N14,"&gt;=3")/COUNT(H14:N14))</f>
        <v/>
      </c>
      <c r="Q14" s="25">
        <f>IF(COUNT(H14:N14)=0,"",AVERAGE(H14:N14))</f>
        <v/>
      </c>
      <c r="R14" s="25">
        <f>IF(COUNT(H14:N14)&lt;2,"",STDEV(H14:N14))</f>
        <v/>
      </c>
      <c r="S14" s="26">
        <f>IF(COUNT(H14:N14)=0,"",COMBIN(COUNT(H14:N14),COUNTIF(H14:N14,"&gt;=3"))*0.5^COUNT(H14:N14))</f>
        <v/>
      </c>
      <c r="T14" s="25">
        <f>IFERROR(IF(P14="","",(P14-S14)/(1-S14)),"")</f>
        <v/>
      </c>
      <c r="U14" s="27">
        <f>IF(P14="","Awaiting",IF(P14&gt;=CVI_PASS,"PASS",IF(P14&gt;=CVI_BORDER,"BORDERLINE","FAIL")))</f>
        <v/>
      </c>
    </row>
    <row r="15">
      <c r="A15" s="9" t="inlineStr">
        <is>
          <t>V014</t>
        </is>
      </c>
      <c r="B15" s="17" t="inlineStr">
        <is>
          <t>Vocabulary</t>
        </is>
      </c>
      <c r="C15" s="18" t="inlineStr">
        <is>
          <t>मामा</t>
        </is>
      </c>
      <c r="D15" s="19" t="inlineStr">
        <is>
          <t>Mama</t>
        </is>
      </c>
      <c r="E15" s="20" t="inlineStr">
        <is>
          <t>Maternal Uncle</t>
        </is>
      </c>
      <c r="F15" s="17" t="inlineStr">
        <is>
          <t>Family</t>
        </is>
      </c>
      <c r="G15" s="21" t="inlineStr"/>
      <c r="H15" s="22" t="inlineStr"/>
      <c r="I15" s="22" t="inlineStr"/>
      <c r="J15" s="22" t="inlineStr"/>
      <c r="K15" s="22" t="inlineStr"/>
      <c r="L15" s="22" t="inlineStr"/>
      <c r="M15" s="22" t="inlineStr"/>
      <c r="N15" s="22" t="inlineStr"/>
      <c r="O15" s="23">
        <f>COUNTIF(H15:N15,"&gt;=3")</f>
        <v/>
      </c>
      <c r="P15" s="24">
        <f>IF(COUNT(H15:N15)=0,"",COUNTIF(H15:N15,"&gt;=3")/COUNT(H15:N15))</f>
        <v/>
      </c>
      <c r="Q15" s="25">
        <f>IF(COUNT(H15:N15)=0,"",AVERAGE(H15:N15))</f>
        <v/>
      </c>
      <c r="R15" s="25">
        <f>IF(COUNT(H15:N15)&lt;2,"",STDEV(H15:N15))</f>
        <v/>
      </c>
      <c r="S15" s="26">
        <f>IF(COUNT(H15:N15)=0,"",COMBIN(COUNT(H15:N15),COUNTIF(H15:N15,"&gt;=3"))*0.5^COUNT(H15:N15))</f>
        <v/>
      </c>
      <c r="T15" s="25">
        <f>IFERROR(IF(P15="","",(P15-S15)/(1-S15)),"")</f>
        <v/>
      </c>
      <c r="U15" s="27">
        <f>IF(P15="","Awaiting",IF(P15&gt;=CVI_PASS,"PASS",IF(P15&gt;=CVI_BORDER,"BORDERLINE","FAIL")))</f>
        <v/>
      </c>
    </row>
    <row r="16">
      <c r="A16" s="9" t="inlineStr">
        <is>
          <t>V015</t>
        </is>
      </c>
      <c r="B16" s="17" t="inlineStr">
        <is>
          <t>Vocabulary</t>
        </is>
      </c>
      <c r="C16" s="18" t="inlineStr">
        <is>
          <t>मौसी</t>
        </is>
      </c>
      <c r="D16" s="19" t="inlineStr">
        <is>
          <t>Mausi</t>
        </is>
      </c>
      <c r="E16" s="20" t="inlineStr">
        <is>
          <t>Maternal Aunt</t>
        </is>
      </c>
      <c r="F16" s="17" t="inlineStr">
        <is>
          <t>Family</t>
        </is>
      </c>
      <c r="G16" s="21" t="inlineStr"/>
      <c r="H16" s="22" t="inlineStr"/>
      <c r="I16" s="22" t="inlineStr"/>
      <c r="J16" s="22" t="inlineStr"/>
      <c r="K16" s="22" t="inlineStr"/>
      <c r="L16" s="22" t="inlineStr"/>
      <c r="M16" s="22" t="inlineStr"/>
      <c r="N16" s="22" t="inlineStr"/>
      <c r="O16" s="23">
        <f>COUNTIF(H16:N16,"&gt;=3")</f>
        <v/>
      </c>
      <c r="P16" s="24">
        <f>IF(COUNT(H16:N16)=0,"",COUNTIF(H16:N16,"&gt;=3")/COUNT(H16:N16))</f>
        <v/>
      </c>
      <c r="Q16" s="25">
        <f>IF(COUNT(H16:N16)=0,"",AVERAGE(H16:N16))</f>
        <v/>
      </c>
      <c r="R16" s="25">
        <f>IF(COUNT(H16:N16)&lt;2,"",STDEV(H16:N16))</f>
        <v/>
      </c>
      <c r="S16" s="26">
        <f>IF(COUNT(H16:N16)=0,"",COMBIN(COUNT(H16:N16),COUNTIF(H16:N16,"&gt;=3"))*0.5^COUNT(H16:N16))</f>
        <v/>
      </c>
      <c r="T16" s="25">
        <f>IFERROR(IF(P16="","",(P16-S16)/(1-S16)),"")</f>
        <v/>
      </c>
      <c r="U16" s="27">
        <f>IF(P16="","Awaiting",IF(P16&gt;=CVI_PASS,"PASS",IF(P16&gt;=CVI_BORDER,"BORDERLINE","FAIL")))</f>
        <v/>
      </c>
    </row>
    <row r="17">
      <c r="A17" s="9" t="inlineStr">
        <is>
          <t>V016</t>
        </is>
      </c>
      <c r="B17" s="17" t="inlineStr">
        <is>
          <t>Vocabulary</t>
        </is>
      </c>
      <c r="C17" s="18" t="inlineStr">
        <is>
          <t>नाना</t>
        </is>
      </c>
      <c r="D17" s="19" t="inlineStr">
        <is>
          <t>Nana</t>
        </is>
      </c>
      <c r="E17" s="20" t="inlineStr">
        <is>
          <t>Maternal Grandfather</t>
        </is>
      </c>
      <c r="F17" s="17" t="inlineStr">
        <is>
          <t>Family</t>
        </is>
      </c>
      <c r="G17" s="21" t="inlineStr"/>
      <c r="H17" s="22" t="inlineStr"/>
      <c r="I17" s="22" t="inlineStr"/>
      <c r="J17" s="22" t="inlineStr"/>
      <c r="K17" s="22" t="inlineStr"/>
      <c r="L17" s="22" t="inlineStr"/>
      <c r="M17" s="22" t="inlineStr"/>
      <c r="N17" s="22" t="inlineStr"/>
      <c r="O17" s="23">
        <f>COUNTIF(H17:N17,"&gt;=3")</f>
        <v/>
      </c>
      <c r="P17" s="24">
        <f>IF(COUNT(H17:N17)=0,"",COUNTIF(H17:N17,"&gt;=3")/COUNT(H17:N17))</f>
        <v/>
      </c>
      <c r="Q17" s="25">
        <f>IF(COUNT(H17:N17)=0,"",AVERAGE(H17:N17))</f>
        <v/>
      </c>
      <c r="R17" s="25">
        <f>IF(COUNT(H17:N17)&lt;2,"",STDEV(H17:N17))</f>
        <v/>
      </c>
      <c r="S17" s="26">
        <f>IF(COUNT(H17:N17)=0,"",COMBIN(COUNT(H17:N17),COUNTIF(H17:N17,"&gt;=3"))*0.5^COUNT(H17:N17))</f>
        <v/>
      </c>
      <c r="T17" s="25">
        <f>IFERROR(IF(P17="","",(P17-S17)/(1-S17)),"")</f>
        <v/>
      </c>
      <c r="U17" s="27">
        <f>IF(P17="","Awaiting",IF(P17&gt;=CVI_PASS,"PASS",IF(P17&gt;=CVI_BORDER,"BORDERLINE","FAIL")))</f>
        <v/>
      </c>
    </row>
    <row r="18">
      <c r="A18" s="9" t="inlineStr">
        <is>
          <t>V017</t>
        </is>
      </c>
      <c r="B18" s="17" t="inlineStr">
        <is>
          <t>Vocabulary</t>
        </is>
      </c>
      <c r="C18" s="18" t="inlineStr">
        <is>
          <t>नानी</t>
        </is>
      </c>
      <c r="D18" s="19" t="inlineStr">
        <is>
          <t>Naani</t>
        </is>
      </c>
      <c r="E18" s="20" t="inlineStr">
        <is>
          <t>Maternal Grandmother</t>
        </is>
      </c>
      <c r="F18" s="17" t="inlineStr">
        <is>
          <t>Family</t>
        </is>
      </c>
      <c r="G18" s="21" t="inlineStr"/>
      <c r="H18" s="22" t="inlineStr"/>
      <c r="I18" s="22" t="inlineStr"/>
      <c r="J18" s="22" t="inlineStr"/>
      <c r="K18" s="22" t="inlineStr"/>
      <c r="L18" s="22" t="inlineStr"/>
      <c r="M18" s="22" t="inlineStr"/>
      <c r="N18" s="22" t="inlineStr"/>
      <c r="O18" s="23">
        <f>COUNTIF(H18:N18,"&gt;=3")</f>
        <v/>
      </c>
      <c r="P18" s="24">
        <f>IF(COUNT(H18:N18)=0,"",COUNTIF(H18:N18,"&gt;=3")/COUNT(H18:N18))</f>
        <v/>
      </c>
      <c r="Q18" s="25">
        <f>IF(COUNT(H18:N18)=0,"",AVERAGE(H18:N18))</f>
        <v/>
      </c>
      <c r="R18" s="25">
        <f>IF(COUNT(H18:N18)&lt;2,"",STDEV(H18:N18))</f>
        <v/>
      </c>
      <c r="S18" s="26">
        <f>IF(COUNT(H18:N18)=0,"",COMBIN(COUNT(H18:N18),COUNTIF(H18:N18,"&gt;=3"))*0.5^COUNT(H18:N18))</f>
        <v/>
      </c>
      <c r="T18" s="25">
        <f>IFERROR(IF(P18="","",(P18-S18)/(1-S18)),"")</f>
        <v/>
      </c>
      <c r="U18" s="27">
        <f>IF(P18="","Awaiting",IF(P18&gt;=CVI_PASS,"PASS",IF(P18&gt;=CVI_BORDER,"BORDERLINE","FAIL")))</f>
        <v/>
      </c>
    </row>
    <row r="19">
      <c r="A19" s="9" t="inlineStr">
        <is>
          <t>V018</t>
        </is>
      </c>
      <c r="B19" s="17" t="inlineStr">
        <is>
          <t>Vocabulary</t>
        </is>
      </c>
      <c r="C19" s="18" t="inlineStr">
        <is>
          <t>बुआ</t>
        </is>
      </c>
      <c r="D19" s="19" t="inlineStr">
        <is>
          <t>Bua</t>
        </is>
      </c>
      <c r="E19" s="20" t="inlineStr">
        <is>
          <t>Paternal Aunt</t>
        </is>
      </c>
      <c r="F19" s="17" t="inlineStr">
        <is>
          <t>Family</t>
        </is>
      </c>
      <c r="G19" s="21" t="inlineStr"/>
      <c r="H19" s="22" t="inlineStr"/>
      <c r="I19" s="22" t="inlineStr"/>
      <c r="J19" s="22" t="inlineStr"/>
      <c r="K19" s="22" t="inlineStr"/>
      <c r="L19" s="22" t="inlineStr"/>
      <c r="M19" s="22" t="inlineStr"/>
      <c r="N19" s="22" t="inlineStr"/>
      <c r="O19" s="23">
        <f>COUNTIF(H19:N19,"&gt;=3")</f>
        <v/>
      </c>
      <c r="P19" s="24">
        <f>IF(COUNT(H19:N19)=0,"",COUNTIF(H19:N19,"&gt;=3")/COUNT(H19:N19))</f>
        <v/>
      </c>
      <c r="Q19" s="25">
        <f>IF(COUNT(H19:N19)=0,"",AVERAGE(H19:N19))</f>
        <v/>
      </c>
      <c r="R19" s="25">
        <f>IF(COUNT(H19:N19)&lt;2,"",STDEV(H19:N19))</f>
        <v/>
      </c>
      <c r="S19" s="26">
        <f>IF(COUNT(H19:N19)=0,"",COMBIN(COUNT(H19:N19),COUNTIF(H19:N19,"&gt;=3"))*0.5^COUNT(H19:N19))</f>
        <v/>
      </c>
      <c r="T19" s="25">
        <f>IFERROR(IF(P19="","",(P19-S19)/(1-S19)),"")</f>
        <v/>
      </c>
      <c r="U19" s="27">
        <f>IF(P19="","Awaiting",IF(P19&gt;=CVI_PASS,"PASS",IF(P19&gt;=CVI_BORDER,"BORDERLINE","FAIL")))</f>
        <v/>
      </c>
    </row>
    <row r="20">
      <c r="A20" s="9" t="inlineStr">
        <is>
          <t>V019</t>
        </is>
      </c>
      <c r="B20" s="17" t="inlineStr">
        <is>
          <t>Vocabulary</t>
        </is>
      </c>
      <c r="C20" s="18" t="inlineStr">
        <is>
          <t>दादी</t>
        </is>
      </c>
      <c r="D20" s="19" t="inlineStr">
        <is>
          <t>Daadi</t>
        </is>
      </c>
      <c r="E20" s="20" t="inlineStr">
        <is>
          <t>Paternal Grandmother</t>
        </is>
      </c>
      <c r="F20" s="17" t="inlineStr">
        <is>
          <t>Family</t>
        </is>
      </c>
      <c r="G20" s="21" t="inlineStr"/>
      <c r="H20" s="22" t="inlineStr"/>
      <c r="I20" s="22" t="inlineStr"/>
      <c r="J20" s="22" t="inlineStr"/>
      <c r="K20" s="22" t="inlineStr"/>
      <c r="L20" s="22" t="inlineStr"/>
      <c r="M20" s="22" t="inlineStr"/>
      <c r="N20" s="22" t="inlineStr"/>
      <c r="O20" s="23">
        <f>COUNTIF(H20:N20,"&gt;=3")</f>
        <v/>
      </c>
      <c r="P20" s="24">
        <f>IF(COUNT(H20:N20)=0,"",COUNTIF(H20:N20,"&gt;=3")/COUNT(H20:N20))</f>
        <v/>
      </c>
      <c r="Q20" s="25">
        <f>IF(COUNT(H20:N20)=0,"",AVERAGE(H20:N20))</f>
        <v/>
      </c>
      <c r="R20" s="25">
        <f>IF(COUNT(H20:N20)&lt;2,"",STDEV(H20:N20))</f>
        <v/>
      </c>
      <c r="S20" s="26">
        <f>IF(COUNT(H20:N20)=0,"",COMBIN(COUNT(H20:N20),COUNTIF(H20:N20,"&gt;=3"))*0.5^COUNT(H20:N20))</f>
        <v/>
      </c>
      <c r="T20" s="25">
        <f>IFERROR(IF(P20="","",(P20-S20)/(1-S20)),"")</f>
        <v/>
      </c>
      <c r="U20" s="27">
        <f>IF(P20="","Awaiting",IF(P20&gt;=CVI_PASS,"PASS",IF(P20&gt;=CVI_BORDER,"BORDERLINE","FAIL")))</f>
        <v/>
      </c>
    </row>
    <row r="21">
      <c r="A21" s="9" t="inlineStr">
        <is>
          <t>V020</t>
        </is>
      </c>
      <c r="B21" s="17" t="inlineStr">
        <is>
          <t>Vocabulary</t>
        </is>
      </c>
      <c r="C21" s="18" t="inlineStr">
        <is>
          <t>चाची</t>
        </is>
      </c>
      <c r="D21" s="19" t="inlineStr">
        <is>
          <t>Chaachi</t>
        </is>
      </c>
      <c r="E21" s="20" t="inlineStr">
        <is>
          <t>Uncle's Wife / Aunt</t>
        </is>
      </c>
      <c r="F21" s="17" t="inlineStr">
        <is>
          <t>Family</t>
        </is>
      </c>
      <c r="G21" s="21" t="inlineStr"/>
      <c r="H21" s="22" t="inlineStr"/>
      <c r="I21" s="22" t="inlineStr"/>
      <c r="J21" s="22" t="inlineStr"/>
      <c r="K21" s="22" t="inlineStr"/>
      <c r="L21" s="22" t="inlineStr"/>
      <c r="M21" s="22" t="inlineStr"/>
      <c r="N21" s="22" t="inlineStr"/>
      <c r="O21" s="23">
        <f>COUNTIF(H21:N21,"&gt;=3")</f>
        <v/>
      </c>
      <c r="P21" s="24">
        <f>IF(COUNT(H21:N21)=0,"",COUNTIF(H21:N21,"&gt;=3")/COUNT(H21:N21))</f>
        <v/>
      </c>
      <c r="Q21" s="25">
        <f>IF(COUNT(H21:N21)=0,"",AVERAGE(H21:N21))</f>
        <v/>
      </c>
      <c r="R21" s="25">
        <f>IF(COUNT(H21:N21)&lt;2,"",STDEV(H21:N21))</f>
        <v/>
      </c>
      <c r="S21" s="26">
        <f>IF(COUNT(H21:N21)=0,"",COMBIN(COUNT(H21:N21),COUNTIF(H21:N21,"&gt;=3"))*0.5^COUNT(H21:N21))</f>
        <v/>
      </c>
      <c r="T21" s="25">
        <f>IFERROR(IF(P21="","",(P21-S21)/(1-S21)),"")</f>
        <v/>
      </c>
      <c r="U21" s="27">
        <f>IF(P21="","Awaiting",IF(P21&gt;=CVI_PASS,"PASS",IF(P21&gt;=CVI_BORDER,"BORDERLINE","FAIL")))</f>
        <v/>
      </c>
    </row>
    <row r="22">
      <c r="A22" s="9" t="inlineStr">
        <is>
          <t>V021</t>
        </is>
      </c>
      <c r="B22" s="17" t="inlineStr">
        <is>
          <t>Vocabulary</t>
        </is>
      </c>
      <c r="C22" s="18" t="inlineStr">
        <is>
          <t>भात</t>
        </is>
      </c>
      <c r="D22" s="19" t="inlineStr">
        <is>
          <t>Bhaat</t>
        </is>
      </c>
      <c r="E22" s="20" t="inlineStr">
        <is>
          <t>Cooked Rice</t>
        </is>
      </c>
      <c r="F22" s="17" t="inlineStr">
        <is>
          <t>Food</t>
        </is>
      </c>
      <c r="G22" s="21" t="inlineStr"/>
      <c r="H22" s="22" t="inlineStr"/>
      <c r="I22" s="22" t="inlineStr"/>
      <c r="J22" s="22" t="inlineStr"/>
      <c r="K22" s="22" t="inlineStr"/>
      <c r="L22" s="22" t="inlineStr"/>
      <c r="M22" s="22" t="inlineStr"/>
      <c r="N22" s="22" t="inlineStr"/>
      <c r="O22" s="23">
        <f>COUNTIF(H22:N22,"&gt;=3")</f>
        <v/>
      </c>
      <c r="P22" s="24">
        <f>IF(COUNT(H22:N22)=0,"",COUNTIF(H22:N22,"&gt;=3")/COUNT(H22:N22))</f>
        <v/>
      </c>
      <c r="Q22" s="25">
        <f>IF(COUNT(H22:N22)=0,"",AVERAGE(H22:N22))</f>
        <v/>
      </c>
      <c r="R22" s="25">
        <f>IF(COUNT(H22:N22)&lt;2,"",STDEV(H22:N22))</f>
        <v/>
      </c>
      <c r="S22" s="26">
        <f>IF(COUNT(H22:N22)=0,"",COMBIN(COUNT(H22:N22),COUNTIF(H22:N22,"&gt;=3"))*0.5^COUNT(H22:N22))</f>
        <v/>
      </c>
      <c r="T22" s="25">
        <f>IFERROR(IF(P22="","",(P22-S22)/(1-S22)),"")</f>
        <v/>
      </c>
      <c r="U22" s="27">
        <f>IF(P22="","Awaiting",IF(P22&gt;=CVI_PASS,"PASS",IF(P22&gt;=CVI_BORDER,"BORDERLINE","FAIL")))</f>
        <v/>
      </c>
    </row>
    <row r="23">
      <c r="A23" s="9" t="inlineStr">
        <is>
          <t>V022</t>
        </is>
      </c>
      <c r="B23" s="17" t="inlineStr">
        <is>
          <t>Vocabulary</t>
        </is>
      </c>
      <c r="C23" s="18" t="inlineStr">
        <is>
          <t>दूध</t>
        </is>
      </c>
      <c r="D23" s="19" t="inlineStr">
        <is>
          <t>Doodh</t>
        </is>
      </c>
      <c r="E23" s="20" t="inlineStr">
        <is>
          <t>Milk</t>
        </is>
      </c>
      <c r="F23" s="17" t="inlineStr">
        <is>
          <t>Food</t>
        </is>
      </c>
      <c r="G23" s="21" t="inlineStr"/>
      <c r="H23" s="22" t="inlineStr"/>
      <c r="I23" s="22" t="inlineStr"/>
      <c r="J23" s="22" t="inlineStr"/>
      <c r="K23" s="22" t="inlineStr"/>
      <c r="L23" s="22" t="inlineStr"/>
      <c r="M23" s="22" t="inlineStr"/>
      <c r="N23" s="22" t="inlineStr"/>
      <c r="O23" s="23">
        <f>COUNTIF(H23:N23,"&gt;=3")</f>
        <v/>
      </c>
      <c r="P23" s="24">
        <f>IF(COUNT(H23:N23)=0,"",COUNTIF(H23:N23,"&gt;=3")/COUNT(H23:N23))</f>
        <v/>
      </c>
      <c r="Q23" s="25">
        <f>IF(COUNT(H23:N23)=0,"",AVERAGE(H23:N23))</f>
        <v/>
      </c>
      <c r="R23" s="25">
        <f>IF(COUNT(H23:N23)&lt;2,"",STDEV(H23:N23))</f>
        <v/>
      </c>
      <c r="S23" s="26">
        <f>IF(COUNT(H23:N23)=0,"",COMBIN(COUNT(H23:N23),COUNTIF(H23:N23,"&gt;=3"))*0.5^COUNT(H23:N23))</f>
        <v/>
      </c>
      <c r="T23" s="25">
        <f>IFERROR(IF(P23="","",(P23-S23)/(1-S23)),"")</f>
        <v/>
      </c>
      <c r="U23" s="27">
        <f>IF(P23="","Awaiting",IF(P23&gt;=CVI_PASS,"PASS",IF(P23&gt;=CVI_BORDER,"BORDERLINE","FAIL")))</f>
        <v/>
      </c>
    </row>
    <row r="24">
      <c r="A24" s="9" t="inlineStr">
        <is>
          <t>V023</t>
        </is>
      </c>
      <c r="B24" s="17" t="inlineStr">
        <is>
          <t>Vocabulary</t>
        </is>
      </c>
      <c r="C24" s="18" t="inlineStr">
        <is>
          <t>केला</t>
        </is>
      </c>
      <c r="D24" s="19" t="inlineStr">
        <is>
          <t>Kela</t>
        </is>
      </c>
      <c r="E24" s="20" t="inlineStr">
        <is>
          <t>Banana</t>
        </is>
      </c>
      <c r="F24" s="17" t="inlineStr">
        <is>
          <t>Food</t>
        </is>
      </c>
      <c r="G24" s="21" t="inlineStr"/>
      <c r="H24" s="22" t="inlineStr"/>
      <c r="I24" s="22" t="inlineStr"/>
      <c r="J24" s="22" t="inlineStr"/>
      <c r="K24" s="22" t="inlineStr"/>
      <c r="L24" s="22" t="inlineStr"/>
      <c r="M24" s="22" t="inlineStr"/>
      <c r="N24" s="22" t="inlineStr"/>
      <c r="O24" s="23">
        <f>COUNTIF(H24:N24,"&gt;=3")</f>
        <v/>
      </c>
      <c r="P24" s="24">
        <f>IF(COUNT(H24:N24)=0,"",COUNTIF(H24:N24,"&gt;=3")/COUNT(H24:N24))</f>
        <v/>
      </c>
      <c r="Q24" s="25">
        <f>IF(COUNT(H24:N24)=0,"",AVERAGE(H24:N24))</f>
        <v/>
      </c>
      <c r="R24" s="25">
        <f>IF(COUNT(H24:N24)&lt;2,"",STDEV(H24:N24))</f>
        <v/>
      </c>
      <c r="S24" s="26">
        <f>IF(COUNT(H24:N24)=0,"",COMBIN(COUNT(H24:N24),COUNTIF(H24:N24,"&gt;=3"))*0.5^COUNT(H24:N24))</f>
        <v/>
      </c>
      <c r="T24" s="25">
        <f>IFERROR(IF(P24="","",(P24-S24)/(1-S24)),"")</f>
        <v/>
      </c>
      <c r="U24" s="27">
        <f>IF(P24="","Awaiting",IF(P24&gt;=CVI_PASS,"PASS",IF(P24&gt;=CVI_BORDER,"BORDERLINE","FAIL")))</f>
        <v/>
      </c>
    </row>
    <row r="25">
      <c r="A25" s="9" t="inlineStr">
        <is>
          <t>V024</t>
        </is>
      </c>
      <c r="B25" s="17" t="inlineStr">
        <is>
          <t>Vocabulary</t>
        </is>
      </c>
      <c r="C25" s="18" t="inlineStr">
        <is>
          <t>पूडी</t>
        </is>
      </c>
      <c r="D25" s="19" t="inlineStr">
        <is>
          <t>Poori</t>
        </is>
      </c>
      <c r="E25" s="20" t="inlineStr">
        <is>
          <t>Puri (Fried Bread)</t>
        </is>
      </c>
      <c r="F25" s="17" t="inlineStr">
        <is>
          <t>Food</t>
        </is>
      </c>
      <c r="G25" s="21" t="inlineStr"/>
      <c r="H25" s="22" t="inlineStr"/>
      <c r="I25" s="22" t="inlineStr"/>
      <c r="J25" s="22" t="inlineStr"/>
      <c r="K25" s="22" t="inlineStr"/>
      <c r="L25" s="22" t="inlineStr"/>
      <c r="M25" s="22" t="inlineStr"/>
      <c r="N25" s="22" t="inlineStr"/>
      <c r="O25" s="23">
        <f>COUNTIF(H25:N25,"&gt;=3")</f>
        <v/>
      </c>
      <c r="P25" s="24">
        <f>IF(COUNT(H25:N25)=0,"",COUNTIF(H25:N25,"&gt;=3")/COUNT(H25:N25))</f>
        <v/>
      </c>
      <c r="Q25" s="25">
        <f>IF(COUNT(H25:N25)=0,"",AVERAGE(H25:N25))</f>
        <v/>
      </c>
      <c r="R25" s="25">
        <f>IF(COUNT(H25:N25)&lt;2,"",STDEV(H25:N25))</f>
        <v/>
      </c>
      <c r="S25" s="26">
        <f>IF(COUNT(H25:N25)=0,"",COMBIN(COUNT(H25:N25),COUNTIF(H25:N25,"&gt;=3"))*0.5^COUNT(H25:N25))</f>
        <v/>
      </c>
      <c r="T25" s="25">
        <f>IFERROR(IF(P25="","",(P25-S25)/(1-S25)),"")</f>
        <v/>
      </c>
      <c r="U25" s="27">
        <f>IF(P25="","Awaiting",IF(P25&gt;=CVI_PASS,"PASS",IF(P25&gt;=CVI_BORDER,"BORDERLINE","FAIL")))</f>
        <v/>
      </c>
    </row>
    <row r="26">
      <c r="A26" s="9" t="inlineStr">
        <is>
          <t>V025</t>
        </is>
      </c>
      <c r="B26" s="17" t="inlineStr">
        <is>
          <t>Vocabulary</t>
        </is>
      </c>
      <c r="C26" s="18" t="inlineStr">
        <is>
          <t>सब्जी</t>
        </is>
      </c>
      <c r="D26" s="19" t="inlineStr">
        <is>
          <t>Sabzi</t>
        </is>
      </c>
      <c r="E26" s="20" t="inlineStr">
        <is>
          <t>Vegetables</t>
        </is>
      </c>
      <c r="F26" s="17" t="inlineStr">
        <is>
          <t>Food</t>
        </is>
      </c>
      <c r="G26" s="21" t="inlineStr"/>
      <c r="H26" s="22" t="inlineStr"/>
      <c r="I26" s="22" t="inlineStr"/>
      <c r="J26" s="22" t="inlineStr"/>
      <c r="K26" s="22" t="inlineStr"/>
      <c r="L26" s="22" t="inlineStr"/>
      <c r="M26" s="22" t="inlineStr"/>
      <c r="N26" s="22" t="inlineStr"/>
      <c r="O26" s="23">
        <f>COUNTIF(H26:N26,"&gt;=3")</f>
        <v/>
      </c>
      <c r="P26" s="24">
        <f>IF(COUNT(H26:N26)=0,"",COUNTIF(H26:N26,"&gt;=3")/COUNT(H26:N26))</f>
        <v/>
      </c>
      <c r="Q26" s="25">
        <f>IF(COUNT(H26:N26)=0,"",AVERAGE(H26:N26))</f>
        <v/>
      </c>
      <c r="R26" s="25">
        <f>IF(COUNT(H26:N26)&lt;2,"",STDEV(H26:N26))</f>
        <v/>
      </c>
      <c r="S26" s="26">
        <f>IF(COUNT(H26:N26)=0,"",COMBIN(COUNT(H26:N26),COUNTIF(H26:N26,"&gt;=3"))*0.5^COUNT(H26:N26))</f>
        <v/>
      </c>
      <c r="T26" s="25">
        <f>IFERROR(IF(P26="","",(P26-S26)/(1-S26)),"")</f>
        <v/>
      </c>
      <c r="U26" s="27">
        <f>IF(P26="","Awaiting",IF(P26&gt;=CVI_PASS,"PASS",IF(P26&gt;=CVI_BORDER,"BORDERLINE","FAIL")))</f>
        <v/>
      </c>
    </row>
    <row r="27">
      <c r="A27" s="9" t="inlineStr">
        <is>
          <t>V026</t>
        </is>
      </c>
      <c r="B27" s="17" t="inlineStr">
        <is>
          <t>Vocabulary</t>
        </is>
      </c>
      <c r="C27" s="18" t="inlineStr">
        <is>
          <t>खीर</t>
        </is>
      </c>
      <c r="D27" s="19" t="inlineStr">
        <is>
          <t>Kheer</t>
        </is>
      </c>
      <c r="E27" s="20" t="inlineStr">
        <is>
          <t>Rice Pudding</t>
        </is>
      </c>
      <c r="F27" s="17" t="inlineStr">
        <is>
          <t>Food</t>
        </is>
      </c>
      <c r="G27" s="21" t="inlineStr"/>
      <c r="H27" s="22" t="inlineStr"/>
      <c r="I27" s="22" t="inlineStr"/>
      <c r="J27" s="22" t="inlineStr"/>
      <c r="K27" s="22" t="inlineStr"/>
      <c r="L27" s="22" t="inlineStr"/>
      <c r="M27" s="22" t="inlineStr"/>
      <c r="N27" s="22" t="inlineStr"/>
      <c r="O27" s="23">
        <f>COUNTIF(H27:N27,"&gt;=3")</f>
        <v/>
      </c>
      <c r="P27" s="24">
        <f>IF(COUNT(H27:N27)=0,"",COUNTIF(H27:N27,"&gt;=3")/COUNT(H27:N27))</f>
        <v/>
      </c>
      <c r="Q27" s="25">
        <f>IF(COUNT(H27:N27)=0,"",AVERAGE(H27:N27))</f>
        <v/>
      </c>
      <c r="R27" s="25">
        <f>IF(COUNT(H27:N27)&lt;2,"",STDEV(H27:N27))</f>
        <v/>
      </c>
      <c r="S27" s="26">
        <f>IF(COUNT(H27:N27)=0,"",COMBIN(COUNT(H27:N27),COUNTIF(H27:N27,"&gt;=3"))*0.5^COUNT(H27:N27))</f>
        <v/>
      </c>
      <c r="T27" s="25">
        <f>IFERROR(IF(P27="","",(P27-S27)/(1-S27)),"")</f>
        <v/>
      </c>
      <c r="U27" s="27">
        <f>IF(P27="","Awaiting",IF(P27&gt;=CVI_PASS,"PASS",IF(P27&gt;=CVI_BORDER,"BORDERLINE","FAIL")))</f>
        <v/>
      </c>
    </row>
    <row r="28">
      <c r="A28" s="9" t="inlineStr">
        <is>
          <t>V027</t>
        </is>
      </c>
      <c r="B28" s="17" t="inlineStr">
        <is>
          <t>Vocabulary</t>
        </is>
      </c>
      <c r="C28" s="18" t="inlineStr">
        <is>
          <t>मिठाई</t>
        </is>
      </c>
      <c r="D28" s="19" t="inlineStr">
        <is>
          <t>Mithai</t>
        </is>
      </c>
      <c r="E28" s="20" t="inlineStr">
        <is>
          <t>Sweets</t>
        </is>
      </c>
      <c r="F28" s="17" t="inlineStr">
        <is>
          <t>Food</t>
        </is>
      </c>
      <c r="G28" s="21" t="inlineStr"/>
      <c r="H28" s="22" t="inlineStr"/>
      <c r="I28" s="22" t="inlineStr"/>
      <c r="J28" s="22" t="inlineStr"/>
      <c r="K28" s="22" t="inlineStr"/>
      <c r="L28" s="22" t="inlineStr"/>
      <c r="M28" s="22" t="inlineStr"/>
      <c r="N28" s="22" t="inlineStr"/>
      <c r="O28" s="23">
        <f>COUNTIF(H28:N28,"&gt;=3")</f>
        <v/>
      </c>
      <c r="P28" s="24">
        <f>IF(COUNT(H28:N28)=0,"",COUNTIF(H28:N28,"&gt;=3")/COUNT(H28:N28))</f>
        <v/>
      </c>
      <c r="Q28" s="25">
        <f>IF(COUNT(H28:N28)=0,"",AVERAGE(H28:N28))</f>
        <v/>
      </c>
      <c r="R28" s="25">
        <f>IF(COUNT(H28:N28)&lt;2,"",STDEV(H28:N28))</f>
        <v/>
      </c>
      <c r="S28" s="26">
        <f>IF(COUNT(H28:N28)=0,"",COMBIN(COUNT(H28:N28),COUNTIF(H28:N28,"&gt;=3"))*0.5^COUNT(H28:N28))</f>
        <v/>
      </c>
      <c r="T28" s="25">
        <f>IFERROR(IF(P28="","",(P28-S28)/(1-S28)),"")</f>
        <v/>
      </c>
      <c r="U28" s="27">
        <f>IF(P28="","Awaiting",IF(P28&gt;=CVI_PASS,"PASS",IF(P28&gt;=CVI_BORDER,"BORDERLINE","FAIL")))</f>
        <v/>
      </c>
    </row>
    <row r="29">
      <c r="A29" s="9" t="inlineStr">
        <is>
          <t>V028</t>
        </is>
      </c>
      <c r="B29" s="17" t="inlineStr">
        <is>
          <t>Vocabulary</t>
        </is>
      </c>
      <c r="C29" s="18" t="inlineStr">
        <is>
          <t>दही</t>
        </is>
      </c>
      <c r="D29" s="19" t="inlineStr">
        <is>
          <t>Dahi</t>
        </is>
      </c>
      <c r="E29" s="20" t="inlineStr">
        <is>
          <t>Yogurt / Curd</t>
        </is>
      </c>
      <c r="F29" s="17" t="inlineStr">
        <is>
          <t>Food</t>
        </is>
      </c>
      <c r="G29" s="21" t="inlineStr"/>
      <c r="H29" s="22" t="inlineStr"/>
      <c r="I29" s="22" t="inlineStr"/>
      <c r="J29" s="22" t="inlineStr"/>
      <c r="K29" s="22" t="inlineStr"/>
      <c r="L29" s="22" t="inlineStr"/>
      <c r="M29" s="22" t="inlineStr"/>
      <c r="N29" s="22" t="inlineStr"/>
      <c r="O29" s="23">
        <f>COUNTIF(H29:N29,"&gt;=3")</f>
        <v/>
      </c>
      <c r="P29" s="24">
        <f>IF(COUNT(H29:N29)=0,"",COUNTIF(H29:N29,"&gt;=3")/COUNT(H29:N29))</f>
        <v/>
      </c>
      <c r="Q29" s="25">
        <f>IF(COUNT(H29:N29)=0,"",AVERAGE(H29:N29))</f>
        <v/>
      </c>
      <c r="R29" s="25">
        <f>IF(COUNT(H29:N29)&lt;2,"",STDEV(H29:N29))</f>
        <v/>
      </c>
      <c r="S29" s="26">
        <f>IF(COUNT(H29:N29)=0,"",COMBIN(COUNT(H29:N29),COUNTIF(H29:N29,"&gt;=3"))*0.5^COUNT(H29:N29))</f>
        <v/>
      </c>
      <c r="T29" s="25">
        <f>IFERROR(IF(P29="","",(P29-S29)/(1-S29)),"")</f>
        <v/>
      </c>
      <c r="U29" s="27">
        <f>IF(P29="","Awaiting",IF(P29&gt;=CVI_PASS,"PASS",IF(P29&gt;=CVI_BORDER,"BORDERLINE","FAIL")))</f>
        <v/>
      </c>
    </row>
    <row r="30">
      <c r="A30" s="9" t="inlineStr">
        <is>
          <t>V029</t>
        </is>
      </c>
      <c r="B30" s="17" t="inlineStr">
        <is>
          <t>Vocabulary</t>
        </is>
      </c>
      <c r="C30" s="18" t="inlineStr">
        <is>
          <t>हलुआ</t>
        </is>
      </c>
      <c r="D30" s="19" t="inlineStr">
        <is>
          <t>Halwa</t>
        </is>
      </c>
      <c r="E30" s="20" t="inlineStr">
        <is>
          <t>Halwa (Sweet Dish)</t>
        </is>
      </c>
      <c r="F30" s="17" t="inlineStr">
        <is>
          <t>Food</t>
        </is>
      </c>
      <c r="G30" s="21" t="inlineStr"/>
      <c r="H30" s="22" t="inlineStr"/>
      <c r="I30" s="22" t="inlineStr"/>
      <c r="J30" s="22" t="inlineStr"/>
      <c r="K30" s="22" t="inlineStr"/>
      <c r="L30" s="22" t="inlineStr"/>
      <c r="M30" s="22" t="inlineStr"/>
      <c r="N30" s="22" t="inlineStr"/>
      <c r="O30" s="23">
        <f>COUNTIF(H30:N30,"&gt;=3")</f>
        <v/>
      </c>
      <c r="P30" s="24">
        <f>IF(COUNT(H30:N30)=0,"",COUNTIF(H30:N30,"&gt;=3")/COUNT(H30:N30))</f>
        <v/>
      </c>
      <c r="Q30" s="25">
        <f>IF(COUNT(H30:N30)=0,"",AVERAGE(H30:N30))</f>
        <v/>
      </c>
      <c r="R30" s="25">
        <f>IF(COUNT(H30:N30)&lt;2,"",STDEV(H30:N30))</f>
        <v/>
      </c>
      <c r="S30" s="26">
        <f>IF(COUNT(H30:N30)=0,"",COMBIN(COUNT(H30:N30),COUNTIF(H30:N30,"&gt;=3"))*0.5^COUNT(H30:N30))</f>
        <v/>
      </c>
      <c r="T30" s="25">
        <f>IFERROR(IF(P30="","",(P30-S30)/(1-S30)),"")</f>
        <v/>
      </c>
      <c r="U30" s="27">
        <f>IF(P30="","Awaiting",IF(P30&gt;=CVI_PASS,"PASS",IF(P30&gt;=CVI_BORDER,"BORDERLINE","FAIL")))</f>
        <v/>
      </c>
    </row>
    <row r="31">
      <c r="A31" s="9" t="inlineStr">
        <is>
          <t>V030</t>
        </is>
      </c>
      <c r="B31" s="17" t="inlineStr">
        <is>
          <t>Vocabulary</t>
        </is>
      </c>
      <c r="C31" s="18" t="inlineStr">
        <is>
          <t>फ़ल</t>
        </is>
      </c>
      <c r="D31" s="19" t="inlineStr">
        <is>
          <t>Phal</t>
        </is>
      </c>
      <c r="E31" s="20" t="inlineStr">
        <is>
          <t>Fruit</t>
        </is>
      </c>
      <c r="F31" s="17" t="inlineStr">
        <is>
          <t>Food</t>
        </is>
      </c>
      <c r="G31" s="21" t="inlineStr"/>
      <c r="H31" s="22" t="inlineStr"/>
      <c r="I31" s="22" t="inlineStr"/>
      <c r="J31" s="22" t="inlineStr"/>
      <c r="K31" s="22" t="inlineStr"/>
      <c r="L31" s="22" t="inlineStr"/>
      <c r="M31" s="22" t="inlineStr"/>
      <c r="N31" s="22" t="inlineStr"/>
      <c r="O31" s="23">
        <f>COUNTIF(H31:N31,"&gt;=3")</f>
        <v/>
      </c>
      <c r="P31" s="24">
        <f>IF(COUNT(H31:N31)=0,"",COUNTIF(H31:N31,"&gt;=3")/COUNT(H31:N31))</f>
        <v/>
      </c>
      <c r="Q31" s="25">
        <f>IF(COUNT(H31:N31)=0,"",AVERAGE(H31:N31))</f>
        <v/>
      </c>
      <c r="R31" s="25">
        <f>IF(COUNT(H31:N31)&lt;2,"",STDEV(H31:N31))</f>
        <v/>
      </c>
      <c r="S31" s="26">
        <f>IF(COUNT(H31:N31)=0,"",COMBIN(COUNT(H31:N31),COUNTIF(H31:N31,"&gt;=3"))*0.5^COUNT(H31:N31))</f>
        <v/>
      </c>
      <c r="T31" s="25">
        <f>IFERROR(IF(P31="","",(P31-S31)/(1-S31)),"")</f>
        <v/>
      </c>
      <c r="U31" s="27">
        <f>IF(P31="","Awaiting",IF(P31&gt;=CVI_PASS,"PASS",IF(P31&gt;=CVI_BORDER,"BORDERLINE","FAIL")))</f>
        <v/>
      </c>
    </row>
    <row r="32">
      <c r="A32" s="9" t="inlineStr">
        <is>
          <t>V031</t>
        </is>
      </c>
      <c r="B32" s="17" t="inlineStr">
        <is>
          <t>Vocabulary</t>
        </is>
      </c>
      <c r="C32" s="18" t="inlineStr">
        <is>
          <t>लड्डू</t>
        </is>
      </c>
      <c r="D32" s="19" t="inlineStr">
        <is>
          <t>Laddoo</t>
        </is>
      </c>
      <c r="E32" s="20" t="inlineStr">
        <is>
          <t>Laddoo (Sweet Ball)</t>
        </is>
      </c>
      <c r="F32" s="17" t="inlineStr">
        <is>
          <t>Food</t>
        </is>
      </c>
      <c r="G32" s="21" t="inlineStr"/>
      <c r="H32" s="22" t="inlineStr"/>
      <c r="I32" s="22" t="inlineStr"/>
      <c r="J32" s="22" t="inlineStr"/>
      <c r="K32" s="22" t="inlineStr"/>
      <c r="L32" s="22" t="inlineStr"/>
      <c r="M32" s="22" t="inlineStr"/>
      <c r="N32" s="22" t="inlineStr"/>
      <c r="O32" s="23">
        <f>COUNTIF(H32:N32,"&gt;=3")</f>
        <v/>
      </c>
      <c r="P32" s="24">
        <f>IF(COUNT(H32:N32)=0,"",COUNTIF(H32:N32,"&gt;=3")/COUNT(H32:N32))</f>
        <v/>
      </c>
      <c r="Q32" s="25">
        <f>IF(COUNT(H32:N32)=0,"",AVERAGE(H32:N32))</f>
        <v/>
      </c>
      <c r="R32" s="25">
        <f>IF(COUNT(H32:N32)&lt;2,"",STDEV(H32:N32))</f>
        <v/>
      </c>
      <c r="S32" s="26">
        <f>IF(COUNT(H32:N32)=0,"",COMBIN(COUNT(H32:N32),COUNTIF(H32:N32,"&gt;=3"))*0.5^COUNT(H32:N32))</f>
        <v/>
      </c>
      <c r="T32" s="25">
        <f>IFERROR(IF(P32="","",(P32-S32)/(1-S32)),"")</f>
        <v/>
      </c>
      <c r="U32" s="27">
        <f>IF(P32="","Awaiting",IF(P32&gt;=CVI_PASS,"PASS",IF(P32&gt;=CVI_BORDER,"BORDERLINE","FAIL")))</f>
        <v/>
      </c>
    </row>
    <row r="33">
      <c r="A33" s="9" t="inlineStr">
        <is>
          <t>V032</t>
        </is>
      </c>
      <c r="B33" s="17" t="inlineStr">
        <is>
          <t>Vocabulary</t>
        </is>
      </c>
      <c r="C33" s="18" t="inlineStr">
        <is>
          <t>कलेवा</t>
        </is>
      </c>
      <c r="D33" s="19" t="inlineStr">
        <is>
          <t>Kalewa</t>
        </is>
      </c>
      <c r="E33" s="20" t="inlineStr">
        <is>
          <t>Morning Meal / Breakfast</t>
        </is>
      </c>
      <c r="F33" s="17" t="inlineStr">
        <is>
          <t>Food</t>
        </is>
      </c>
      <c r="G33" s="21" t="inlineStr"/>
      <c r="H33" s="22" t="inlineStr"/>
      <c r="I33" s="22" t="inlineStr"/>
      <c r="J33" s="22" t="inlineStr"/>
      <c r="K33" s="22" t="inlineStr"/>
      <c r="L33" s="22" t="inlineStr"/>
      <c r="M33" s="22" t="inlineStr"/>
      <c r="N33" s="22" t="inlineStr"/>
      <c r="O33" s="23">
        <f>COUNTIF(H33:N33,"&gt;=3")</f>
        <v/>
      </c>
      <c r="P33" s="24">
        <f>IF(COUNT(H33:N33)=0,"",COUNTIF(H33:N33,"&gt;=3")/COUNT(H33:N33))</f>
        <v/>
      </c>
      <c r="Q33" s="25">
        <f>IF(COUNT(H33:N33)=0,"",AVERAGE(H33:N33))</f>
        <v/>
      </c>
      <c r="R33" s="25">
        <f>IF(COUNT(H33:N33)&lt;2,"",STDEV(H33:N33))</f>
        <v/>
      </c>
      <c r="S33" s="26">
        <f>IF(COUNT(H33:N33)=0,"",COMBIN(COUNT(H33:N33),COUNTIF(H33:N33,"&gt;=3"))*0.5^COUNT(H33:N33))</f>
        <v/>
      </c>
      <c r="T33" s="25">
        <f>IFERROR(IF(P33="","",(P33-S33)/(1-S33)),"")</f>
        <v/>
      </c>
      <c r="U33" s="27">
        <f>IF(P33="","Awaiting",IF(P33&gt;=CVI_PASS,"PASS",IF(P33&gt;=CVI_BORDER,"BORDERLINE","FAIL")))</f>
        <v/>
      </c>
    </row>
    <row r="34">
      <c r="A34" s="9" t="inlineStr">
        <is>
          <t>V033</t>
        </is>
      </c>
      <c r="B34" s="17" t="inlineStr">
        <is>
          <t>Vocabulary</t>
        </is>
      </c>
      <c r="C34" s="18" t="inlineStr">
        <is>
          <t>गाँव</t>
        </is>
      </c>
      <c r="D34" s="19" t="inlineStr">
        <is>
          <t>Gaav</t>
        </is>
      </c>
      <c r="E34" s="20" t="inlineStr">
        <is>
          <t>Village</t>
        </is>
      </c>
      <c r="F34" s="17" t="inlineStr">
        <is>
          <t>Nature</t>
        </is>
      </c>
      <c r="G34" s="21" t="inlineStr"/>
      <c r="H34" s="22" t="inlineStr"/>
      <c r="I34" s="22" t="inlineStr"/>
      <c r="J34" s="22" t="inlineStr"/>
      <c r="K34" s="22" t="inlineStr"/>
      <c r="L34" s="22" t="inlineStr"/>
      <c r="M34" s="22" t="inlineStr"/>
      <c r="N34" s="22" t="inlineStr"/>
      <c r="O34" s="23">
        <f>COUNTIF(H34:N34,"&gt;=3")</f>
        <v/>
      </c>
      <c r="P34" s="24">
        <f>IF(COUNT(H34:N34)=0,"",COUNTIF(H34:N34,"&gt;=3")/COUNT(H34:N34))</f>
        <v/>
      </c>
      <c r="Q34" s="25">
        <f>IF(COUNT(H34:N34)=0,"",AVERAGE(H34:N34))</f>
        <v/>
      </c>
      <c r="R34" s="25">
        <f>IF(COUNT(H34:N34)&lt;2,"",STDEV(H34:N34))</f>
        <v/>
      </c>
      <c r="S34" s="26">
        <f>IF(COUNT(H34:N34)=0,"",COMBIN(COUNT(H34:N34),COUNTIF(H34:N34,"&gt;=3"))*0.5^COUNT(H34:N34))</f>
        <v/>
      </c>
      <c r="T34" s="25">
        <f>IFERROR(IF(P34="","",(P34-S34)/(1-S34)),"")</f>
        <v/>
      </c>
      <c r="U34" s="27">
        <f>IF(P34="","Awaiting",IF(P34&gt;=CVI_PASS,"PASS",IF(P34&gt;=CVI_BORDER,"BORDERLINE","FAIL")))</f>
        <v/>
      </c>
    </row>
    <row r="35">
      <c r="A35" s="9" t="inlineStr">
        <is>
          <t>V034</t>
        </is>
      </c>
      <c r="B35" s="17" t="inlineStr">
        <is>
          <t>Vocabulary</t>
        </is>
      </c>
      <c r="C35" s="18" t="inlineStr">
        <is>
          <t>पेड</t>
        </is>
      </c>
      <c r="D35" s="19" t="inlineStr">
        <is>
          <t>Ped</t>
        </is>
      </c>
      <c r="E35" s="20" t="inlineStr">
        <is>
          <t>Tree</t>
        </is>
      </c>
      <c r="F35" s="17" t="inlineStr">
        <is>
          <t>Nature</t>
        </is>
      </c>
      <c r="G35" s="21" t="inlineStr"/>
      <c r="H35" s="22" t="inlineStr"/>
      <c r="I35" s="22" t="inlineStr"/>
      <c r="J35" s="22" t="inlineStr"/>
      <c r="K35" s="22" t="inlineStr"/>
      <c r="L35" s="22" t="inlineStr"/>
      <c r="M35" s="22" t="inlineStr"/>
      <c r="N35" s="22" t="inlineStr"/>
      <c r="O35" s="23">
        <f>COUNTIF(H35:N35,"&gt;=3")</f>
        <v/>
      </c>
      <c r="P35" s="24">
        <f>IF(COUNT(H35:N35)=0,"",COUNTIF(H35:N35,"&gt;=3")/COUNT(H35:N35))</f>
        <v/>
      </c>
      <c r="Q35" s="25">
        <f>IF(COUNT(H35:N35)=0,"",AVERAGE(H35:N35))</f>
        <v/>
      </c>
      <c r="R35" s="25">
        <f>IF(COUNT(H35:N35)&lt;2,"",STDEV(H35:N35))</f>
        <v/>
      </c>
      <c r="S35" s="26">
        <f>IF(COUNT(H35:N35)=0,"",COMBIN(COUNT(H35:N35),COUNTIF(H35:N35,"&gt;=3"))*0.5^COUNT(H35:N35))</f>
        <v/>
      </c>
      <c r="T35" s="25">
        <f>IFERROR(IF(P35="","",(P35-S35)/(1-S35)),"")</f>
        <v/>
      </c>
      <c r="U35" s="27">
        <f>IF(P35="","Awaiting",IF(P35&gt;=CVI_PASS,"PASS",IF(P35&gt;=CVI_BORDER,"BORDERLINE","FAIL")))</f>
        <v/>
      </c>
    </row>
    <row r="36">
      <c r="A36" s="9" t="inlineStr">
        <is>
          <t>V035</t>
        </is>
      </c>
      <c r="B36" s="17" t="inlineStr">
        <is>
          <t>Vocabulary</t>
        </is>
      </c>
      <c r="C36" s="18" t="inlineStr">
        <is>
          <t>जंगल</t>
        </is>
      </c>
      <c r="D36" s="19" t="inlineStr">
        <is>
          <t>Jungle</t>
        </is>
      </c>
      <c r="E36" s="20" t="inlineStr">
        <is>
          <t>Forest</t>
        </is>
      </c>
      <c r="F36" s="17" t="inlineStr">
        <is>
          <t>Nature</t>
        </is>
      </c>
      <c r="G36" s="21" t="inlineStr"/>
      <c r="H36" s="22" t="inlineStr"/>
      <c r="I36" s="22" t="inlineStr"/>
      <c r="J36" s="22" t="inlineStr"/>
      <c r="K36" s="22" t="inlineStr"/>
      <c r="L36" s="22" t="inlineStr"/>
      <c r="M36" s="22" t="inlineStr"/>
      <c r="N36" s="22" t="inlineStr"/>
      <c r="O36" s="23">
        <f>COUNTIF(H36:N36,"&gt;=3")</f>
        <v/>
      </c>
      <c r="P36" s="24">
        <f>IF(COUNT(H36:N36)=0,"",COUNTIF(H36:N36,"&gt;=3")/COUNT(H36:N36))</f>
        <v/>
      </c>
      <c r="Q36" s="25">
        <f>IF(COUNT(H36:N36)=0,"",AVERAGE(H36:N36))</f>
        <v/>
      </c>
      <c r="R36" s="25">
        <f>IF(COUNT(H36:N36)&lt;2,"",STDEV(H36:N36))</f>
        <v/>
      </c>
      <c r="S36" s="26">
        <f>IF(COUNT(H36:N36)=0,"",COMBIN(COUNT(H36:N36),COUNTIF(H36:N36,"&gt;=3"))*0.5^COUNT(H36:N36))</f>
        <v/>
      </c>
      <c r="T36" s="25">
        <f>IFERROR(IF(P36="","",(P36-S36)/(1-S36)),"")</f>
        <v/>
      </c>
      <c r="U36" s="27">
        <f>IF(P36="","Awaiting",IF(P36&gt;=CVI_PASS,"PASS",IF(P36&gt;=CVI_BORDER,"BORDERLINE","FAIL")))</f>
        <v/>
      </c>
    </row>
    <row r="37">
      <c r="A37" s="9" t="inlineStr">
        <is>
          <t>V036</t>
        </is>
      </c>
      <c r="B37" s="17" t="inlineStr">
        <is>
          <t>Vocabulary</t>
        </is>
      </c>
      <c r="C37" s="18" t="inlineStr">
        <is>
          <t>बाँस</t>
        </is>
      </c>
      <c r="D37" s="19" t="inlineStr">
        <is>
          <t>Baans</t>
        </is>
      </c>
      <c r="E37" s="20" t="inlineStr">
        <is>
          <t>Bamboo</t>
        </is>
      </c>
      <c r="F37" s="17" t="inlineStr">
        <is>
          <t>Nature</t>
        </is>
      </c>
      <c r="G37" s="21" t="inlineStr"/>
      <c r="H37" s="22" t="inlineStr"/>
      <c r="I37" s="22" t="inlineStr"/>
      <c r="J37" s="22" t="inlineStr"/>
      <c r="K37" s="22" t="inlineStr"/>
      <c r="L37" s="22" t="inlineStr"/>
      <c r="M37" s="22" t="inlineStr"/>
      <c r="N37" s="22" t="inlineStr"/>
      <c r="O37" s="23">
        <f>COUNTIF(H37:N37,"&gt;=3")</f>
        <v/>
      </c>
      <c r="P37" s="24">
        <f>IF(COUNT(H37:N37)=0,"",COUNTIF(H37:N37,"&gt;=3")/COUNT(H37:N37))</f>
        <v/>
      </c>
      <c r="Q37" s="25">
        <f>IF(COUNT(H37:N37)=0,"",AVERAGE(H37:N37))</f>
        <v/>
      </c>
      <c r="R37" s="25">
        <f>IF(COUNT(H37:N37)&lt;2,"",STDEV(H37:N37))</f>
        <v/>
      </c>
      <c r="S37" s="26">
        <f>IF(COUNT(H37:N37)=0,"",COMBIN(COUNT(H37:N37),COUNTIF(H37:N37,"&gt;=3"))*0.5^COUNT(H37:N37))</f>
        <v/>
      </c>
      <c r="T37" s="25">
        <f>IFERROR(IF(P37="","",(P37-S37)/(1-S37)),"")</f>
        <v/>
      </c>
      <c r="U37" s="27">
        <f>IF(P37="","Awaiting",IF(P37&gt;=CVI_PASS,"PASS",IF(P37&gt;=CVI_BORDER,"BORDERLINE","FAIL")))</f>
        <v/>
      </c>
    </row>
    <row r="38">
      <c r="A38" s="9" t="inlineStr">
        <is>
          <t>V037</t>
        </is>
      </c>
      <c r="B38" s="17" t="inlineStr">
        <is>
          <t>Vocabulary</t>
        </is>
      </c>
      <c r="C38" s="18" t="inlineStr">
        <is>
          <t>फ़ूल</t>
        </is>
      </c>
      <c r="D38" s="19" t="inlineStr">
        <is>
          <t>Phool</t>
        </is>
      </c>
      <c r="E38" s="20" t="inlineStr">
        <is>
          <t>Flower</t>
        </is>
      </c>
      <c r="F38" s="17" t="inlineStr">
        <is>
          <t>Nature</t>
        </is>
      </c>
      <c r="G38" s="21" t="inlineStr"/>
      <c r="H38" s="22" t="inlineStr"/>
      <c r="I38" s="22" t="inlineStr"/>
      <c r="J38" s="22" t="inlineStr"/>
      <c r="K38" s="22" t="inlineStr"/>
      <c r="L38" s="22" t="inlineStr"/>
      <c r="M38" s="22" t="inlineStr"/>
      <c r="N38" s="22" t="inlineStr"/>
      <c r="O38" s="23">
        <f>COUNTIF(H38:N38,"&gt;=3")</f>
        <v/>
      </c>
      <c r="P38" s="24">
        <f>IF(COUNT(H38:N38)=0,"",COUNTIF(H38:N38,"&gt;=3")/COUNT(H38:N38))</f>
        <v/>
      </c>
      <c r="Q38" s="25">
        <f>IF(COUNT(H38:N38)=0,"",AVERAGE(H38:N38))</f>
        <v/>
      </c>
      <c r="R38" s="25">
        <f>IF(COUNT(H38:N38)&lt;2,"",STDEV(H38:N38))</f>
        <v/>
      </c>
      <c r="S38" s="26">
        <f>IF(COUNT(H38:N38)=0,"",COMBIN(COUNT(H38:N38),COUNTIF(H38:N38,"&gt;=3"))*0.5^COUNT(H38:N38))</f>
        <v/>
      </c>
      <c r="T38" s="25">
        <f>IFERROR(IF(P38="","",(P38-S38)/(1-S38)),"")</f>
        <v/>
      </c>
      <c r="U38" s="27">
        <f>IF(P38="","Awaiting",IF(P38&gt;=CVI_PASS,"PASS",IF(P38&gt;=CVI_BORDER,"BORDERLINE","FAIL")))</f>
        <v/>
      </c>
    </row>
    <row r="39">
      <c r="A39" s="9" t="inlineStr">
        <is>
          <t>V038</t>
        </is>
      </c>
      <c r="B39" s="17" t="inlineStr">
        <is>
          <t>Vocabulary</t>
        </is>
      </c>
      <c r="C39" s="18" t="inlineStr">
        <is>
          <t>मौसम</t>
        </is>
      </c>
      <c r="D39" s="19" t="inlineStr">
        <is>
          <t>Mausam</t>
        </is>
      </c>
      <c r="E39" s="20" t="inlineStr">
        <is>
          <t>Weather / Season</t>
        </is>
      </c>
      <c r="F39" s="17" t="inlineStr">
        <is>
          <t>Nature</t>
        </is>
      </c>
      <c r="G39" s="21" t="inlineStr"/>
      <c r="H39" s="22" t="inlineStr"/>
      <c r="I39" s="22" t="inlineStr"/>
      <c r="J39" s="22" t="inlineStr"/>
      <c r="K39" s="22" t="inlineStr"/>
      <c r="L39" s="22" t="inlineStr"/>
      <c r="M39" s="22" t="inlineStr"/>
      <c r="N39" s="22" t="inlineStr"/>
      <c r="O39" s="23">
        <f>COUNTIF(H39:N39,"&gt;=3")</f>
        <v/>
      </c>
      <c r="P39" s="24">
        <f>IF(COUNT(H39:N39)=0,"",COUNTIF(H39:N39,"&gt;=3")/COUNT(H39:N39))</f>
        <v/>
      </c>
      <c r="Q39" s="25">
        <f>IF(COUNT(H39:N39)=0,"",AVERAGE(H39:N39))</f>
        <v/>
      </c>
      <c r="R39" s="25">
        <f>IF(COUNT(H39:N39)&lt;2,"",STDEV(H39:N39))</f>
        <v/>
      </c>
      <c r="S39" s="26">
        <f>IF(COUNT(H39:N39)=0,"",COMBIN(COUNT(H39:N39),COUNTIF(H39:N39,"&gt;=3"))*0.5^COUNT(H39:N39))</f>
        <v/>
      </c>
      <c r="T39" s="25">
        <f>IFERROR(IF(P39="","",(P39-S39)/(1-S39)),"")</f>
        <v/>
      </c>
      <c r="U39" s="27">
        <f>IF(P39="","Awaiting",IF(P39&gt;=CVI_PASS,"PASS",IF(P39&gt;=CVI_BORDER,"BORDERLINE","FAIL")))</f>
        <v/>
      </c>
    </row>
    <row r="40">
      <c r="A40" s="9" t="inlineStr">
        <is>
          <t>V039</t>
        </is>
      </c>
      <c r="B40" s="17" t="inlineStr">
        <is>
          <t>Vocabulary</t>
        </is>
      </c>
      <c r="C40" s="18" t="inlineStr">
        <is>
          <t>मैदान</t>
        </is>
      </c>
      <c r="D40" s="19" t="inlineStr">
        <is>
          <t>Maidan</t>
        </is>
      </c>
      <c r="E40" s="20" t="inlineStr">
        <is>
          <t>Ground / Field</t>
        </is>
      </c>
      <c r="F40" s="17" t="inlineStr">
        <is>
          <t>Nature</t>
        </is>
      </c>
      <c r="G40" s="21" t="inlineStr"/>
      <c r="H40" s="22" t="inlineStr"/>
      <c r="I40" s="22" t="inlineStr"/>
      <c r="J40" s="22" t="inlineStr"/>
      <c r="K40" s="22" t="inlineStr"/>
      <c r="L40" s="22" t="inlineStr"/>
      <c r="M40" s="22" t="inlineStr"/>
      <c r="N40" s="22" t="inlineStr"/>
      <c r="O40" s="23">
        <f>COUNTIF(H40:N40,"&gt;=3")</f>
        <v/>
      </c>
      <c r="P40" s="24">
        <f>IF(COUNT(H40:N40)=0,"",COUNTIF(H40:N40,"&gt;=3")/COUNT(H40:N40))</f>
        <v/>
      </c>
      <c r="Q40" s="25">
        <f>IF(COUNT(H40:N40)=0,"",AVERAGE(H40:N40))</f>
        <v/>
      </c>
      <c r="R40" s="25">
        <f>IF(COUNT(H40:N40)&lt;2,"",STDEV(H40:N40))</f>
        <v/>
      </c>
      <c r="S40" s="26">
        <f>IF(COUNT(H40:N40)=0,"",COMBIN(COUNT(H40:N40),COUNTIF(H40:N40,"&gt;=3"))*0.5^COUNT(H40:N40))</f>
        <v/>
      </c>
      <c r="T40" s="25">
        <f>IFERROR(IF(P40="","",(P40-S40)/(1-S40)),"")</f>
        <v/>
      </c>
      <c r="U40" s="27">
        <f>IF(P40="","Awaiting",IF(P40&gt;=CVI_PASS,"PASS",IF(P40&gt;=CVI_BORDER,"BORDERLINE","FAIL")))</f>
        <v/>
      </c>
    </row>
    <row r="41">
      <c r="A41" s="9" t="inlineStr">
        <is>
          <t>V040</t>
        </is>
      </c>
      <c r="B41" s="17" t="inlineStr">
        <is>
          <t>Vocabulary</t>
        </is>
      </c>
      <c r="C41" s="18" t="inlineStr">
        <is>
          <t>नदी</t>
        </is>
      </c>
      <c r="D41" s="19" t="inlineStr">
        <is>
          <t>Nadi</t>
        </is>
      </c>
      <c r="E41" s="20" t="inlineStr">
        <is>
          <t>River</t>
        </is>
      </c>
      <c r="F41" s="17" t="inlineStr">
        <is>
          <t>Nature</t>
        </is>
      </c>
      <c r="G41" s="21" t="inlineStr"/>
      <c r="H41" s="22" t="inlineStr"/>
      <c r="I41" s="22" t="inlineStr"/>
      <c r="J41" s="22" t="inlineStr"/>
      <c r="K41" s="22" t="inlineStr"/>
      <c r="L41" s="22" t="inlineStr"/>
      <c r="M41" s="22" t="inlineStr"/>
      <c r="N41" s="22" t="inlineStr"/>
      <c r="O41" s="23">
        <f>COUNTIF(H41:N41,"&gt;=3")</f>
        <v/>
      </c>
      <c r="P41" s="24">
        <f>IF(COUNT(H41:N41)=0,"",COUNTIF(H41:N41,"&gt;=3")/COUNT(H41:N41))</f>
        <v/>
      </c>
      <c r="Q41" s="25">
        <f>IF(COUNT(H41:N41)=0,"",AVERAGE(H41:N41))</f>
        <v/>
      </c>
      <c r="R41" s="25">
        <f>IF(COUNT(H41:N41)&lt;2,"",STDEV(H41:N41))</f>
        <v/>
      </c>
      <c r="S41" s="26">
        <f>IF(COUNT(H41:N41)=0,"",COMBIN(COUNT(H41:N41),COUNTIF(H41:N41,"&gt;=3"))*0.5^COUNT(H41:N41))</f>
        <v/>
      </c>
      <c r="T41" s="25">
        <f>IFERROR(IF(P41="","",(P41-S41)/(1-S41)),"")</f>
        <v/>
      </c>
      <c r="U41" s="27">
        <f>IF(P41="","Awaiting",IF(P41&gt;=CVI_PASS,"PASS",IF(P41&gt;=CVI_BORDER,"BORDERLINE","FAIL")))</f>
        <v/>
      </c>
    </row>
    <row r="42">
      <c r="A42" s="9" t="inlineStr">
        <is>
          <t>V041</t>
        </is>
      </c>
      <c r="B42" s="17" t="inlineStr">
        <is>
          <t>Vocabulary</t>
        </is>
      </c>
      <c r="C42" s="18" t="inlineStr">
        <is>
          <t>खेत</t>
        </is>
      </c>
      <c r="D42" s="19" t="inlineStr">
        <is>
          <t>Khet</t>
        </is>
      </c>
      <c r="E42" s="20" t="inlineStr">
        <is>
          <t>Farm / Field</t>
        </is>
      </c>
      <c r="F42" s="17" t="inlineStr">
        <is>
          <t>Nature</t>
        </is>
      </c>
      <c r="G42" s="21" t="inlineStr"/>
      <c r="H42" s="22" t="inlineStr"/>
      <c r="I42" s="22" t="inlineStr"/>
      <c r="J42" s="22" t="inlineStr"/>
      <c r="K42" s="22" t="inlineStr"/>
      <c r="L42" s="22" t="inlineStr"/>
      <c r="M42" s="22" t="inlineStr"/>
      <c r="N42" s="22" t="inlineStr"/>
      <c r="O42" s="23">
        <f>COUNTIF(H42:N42,"&gt;=3")</f>
        <v/>
      </c>
      <c r="P42" s="24">
        <f>IF(COUNT(H42:N42)=0,"",COUNTIF(H42:N42,"&gt;=3")/COUNT(H42:N42))</f>
        <v/>
      </c>
      <c r="Q42" s="25">
        <f>IF(COUNT(H42:N42)=0,"",AVERAGE(H42:N42))</f>
        <v/>
      </c>
      <c r="R42" s="25">
        <f>IF(COUNT(H42:N42)&lt;2,"",STDEV(H42:N42))</f>
        <v/>
      </c>
      <c r="S42" s="26">
        <f>IF(COUNT(H42:N42)=0,"",COMBIN(COUNT(H42:N42),COUNTIF(H42:N42,"&gt;=3"))*0.5^COUNT(H42:N42))</f>
        <v/>
      </c>
      <c r="T42" s="25">
        <f>IFERROR(IF(P42="","",(P42-S42)/(1-S42)),"")</f>
        <v/>
      </c>
      <c r="U42" s="27">
        <f>IF(P42="","Awaiting",IF(P42&gt;=CVI_PASS,"PASS",IF(P42&gt;=CVI_BORDER,"BORDERLINE","FAIL")))</f>
        <v/>
      </c>
    </row>
    <row r="43">
      <c r="A43" s="9" t="inlineStr">
        <is>
          <t>V042</t>
        </is>
      </c>
      <c r="B43" s="17" t="inlineStr">
        <is>
          <t>Vocabulary</t>
        </is>
      </c>
      <c r="C43" s="18" t="inlineStr">
        <is>
          <t>स्कूल</t>
        </is>
      </c>
      <c r="D43" s="19" t="inlineStr">
        <is>
          <t>Skool</t>
        </is>
      </c>
      <c r="E43" s="20" t="inlineStr">
        <is>
          <t>School</t>
        </is>
      </c>
      <c r="F43" s="17" t="inlineStr">
        <is>
          <t>Education</t>
        </is>
      </c>
      <c r="G43" s="21" t="inlineStr"/>
      <c r="H43" s="22" t="inlineStr"/>
      <c r="I43" s="22" t="inlineStr"/>
      <c r="J43" s="22" t="inlineStr"/>
      <c r="K43" s="22" t="inlineStr"/>
      <c r="L43" s="22" t="inlineStr"/>
      <c r="M43" s="22" t="inlineStr"/>
      <c r="N43" s="22" t="inlineStr"/>
      <c r="O43" s="23">
        <f>COUNTIF(H43:N43,"&gt;=3")</f>
        <v/>
      </c>
      <c r="P43" s="24">
        <f>IF(COUNT(H43:N43)=0,"",COUNTIF(H43:N43,"&gt;=3")/COUNT(H43:N43))</f>
        <v/>
      </c>
      <c r="Q43" s="25">
        <f>IF(COUNT(H43:N43)=0,"",AVERAGE(H43:N43))</f>
        <v/>
      </c>
      <c r="R43" s="25">
        <f>IF(COUNT(H43:N43)&lt;2,"",STDEV(H43:N43))</f>
        <v/>
      </c>
      <c r="S43" s="26">
        <f>IF(COUNT(H43:N43)=0,"",COMBIN(COUNT(H43:N43),COUNTIF(H43:N43,"&gt;=3"))*0.5^COUNT(H43:N43))</f>
        <v/>
      </c>
      <c r="T43" s="25">
        <f>IFERROR(IF(P43="","",(P43-S43)/(1-S43)),"")</f>
        <v/>
      </c>
      <c r="U43" s="27">
        <f>IF(P43="","Awaiting",IF(P43&gt;=CVI_PASS,"PASS",IF(P43&gt;=CVI_BORDER,"BORDERLINE","FAIL")))</f>
        <v/>
      </c>
    </row>
    <row r="44">
      <c r="A44" s="9" t="inlineStr">
        <is>
          <t>V043</t>
        </is>
      </c>
      <c r="B44" s="17" t="inlineStr">
        <is>
          <t>Vocabulary</t>
        </is>
      </c>
      <c r="C44" s="18" t="inlineStr">
        <is>
          <t>किताब</t>
        </is>
      </c>
      <c r="D44" s="19" t="inlineStr">
        <is>
          <t>Kitaab</t>
        </is>
      </c>
      <c r="E44" s="20" t="inlineStr">
        <is>
          <t>Book</t>
        </is>
      </c>
      <c r="F44" s="17" t="inlineStr">
        <is>
          <t>Education</t>
        </is>
      </c>
      <c r="G44" s="21" t="inlineStr"/>
      <c r="H44" s="22" t="inlineStr"/>
      <c r="I44" s="22" t="inlineStr"/>
      <c r="J44" s="22" t="inlineStr"/>
      <c r="K44" s="22" t="inlineStr"/>
      <c r="L44" s="22" t="inlineStr"/>
      <c r="M44" s="22" t="inlineStr"/>
      <c r="N44" s="22" t="inlineStr"/>
      <c r="O44" s="23">
        <f>COUNTIF(H44:N44,"&gt;=3")</f>
        <v/>
      </c>
      <c r="P44" s="24">
        <f>IF(COUNT(H44:N44)=0,"",COUNTIF(H44:N44,"&gt;=3")/COUNT(H44:N44))</f>
        <v/>
      </c>
      <c r="Q44" s="25">
        <f>IF(COUNT(H44:N44)=0,"",AVERAGE(H44:N44))</f>
        <v/>
      </c>
      <c r="R44" s="25">
        <f>IF(COUNT(H44:N44)&lt;2,"",STDEV(H44:N44))</f>
        <v/>
      </c>
      <c r="S44" s="26">
        <f>IF(COUNT(H44:N44)=0,"",COMBIN(COUNT(H44:N44),COUNTIF(H44:N44,"&gt;=3"))*0.5^COUNT(H44:N44))</f>
        <v/>
      </c>
      <c r="T44" s="25">
        <f>IFERROR(IF(P44="","",(P44-S44)/(1-S44)),"")</f>
        <v/>
      </c>
      <c r="U44" s="27">
        <f>IF(P44="","Awaiting",IF(P44&gt;=CVI_PASS,"PASS",IF(P44&gt;=CVI_BORDER,"BORDERLINE","FAIL")))</f>
        <v/>
      </c>
    </row>
    <row r="45">
      <c r="A45" s="9" t="inlineStr">
        <is>
          <t>V044</t>
        </is>
      </c>
      <c r="B45" s="17" t="inlineStr">
        <is>
          <t>Vocabulary</t>
        </is>
      </c>
      <c r="C45" s="18" t="inlineStr">
        <is>
          <t>छात्र</t>
        </is>
      </c>
      <c r="D45" s="19" t="inlineStr">
        <is>
          <t>Chhaatr</t>
        </is>
      </c>
      <c r="E45" s="20" t="inlineStr">
        <is>
          <t>Student</t>
        </is>
      </c>
      <c r="F45" s="17" t="inlineStr">
        <is>
          <t>Education</t>
        </is>
      </c>
      <c r="G45" s="21" t="inlineStr"/>
      <c r="H45" s="22" t="inlineStr"/>
      <c r="I45" s="22" t="inlineStr"/>
      <c r="J45" s="22" t="inlineStr"/>
      <c r="K45" s="22" t="inlineStr"/>
      <c r="L45" s="22" t="inlineStr"/>
      <c r="M45" s="22" t="inlineStr"/>
      <c r="N45" s="22" t="inlineStr"/>
      <c r="O45" s="23">
        <f>COUNTIF(H45:N45,"&gt;=3")</f>
        <v/>
      </c>
      <c r="P45" s="24">
        <f>IF(COUNT(H45:N45)=0,"",COUNTIF(H45:N45,"&gt;=3")/COUNT(H45:N45))</f>
        <v/>
      </c>
      <c r="Q45" s="25">
        <f>IF(COUNT(H45:N45)=0,"",AVERAGE(H45:N45))</f>
        <v/>
      </c>
      <c r="R45" s="25">
        <f>IF(COUNT(H45:N45)&lt;2,"",STDEV(H45:N45))</f>
        <v/>
      </c>
      <c r="S45" s="26">
        <f>IF(COUNT(H45:N45)=0,"",COMBIN(COUNT(H45:N45),COUNTIF(H45:N45,"&gt;=3"))*0.5^COUNT(H45:N45))</f>
        <v/>
      </c>
      <c r="T45" s="25">
        <f>IFERROR(IF(P45="","",(P45-S45)/(1-S45)),"")</f>
        <v/>
      </c>
      <c r="U45" s="27">
        <f>IF(P45="","Awaiting",IF(P45&gt;=CVI_PASS,"PASS",IF(P45&gt;=CVI_BORDER,"BORDERLINE","FAIL")))</f>
        <v/>
      </c>
    </row>
    <row r="46">
      <c r="A46" s="9" t="inlineStr">
        <is>
          <t>V045</t>
        </is>
      </c>
      <c r="B46" s="17" t="inlineStr">
        <is>
          <t>Vocabulary</t>
        </is>
      </c>
      <c r="C46" s="18" t="inlineStr">
        <is>
          <t>पढ़ना</t>
        </is>
      </c>
      <c r="D46" s="19" t="inlineStr">
        <is>
          <t>Padhna</t>
        </is>
      </c>
      <c r="E46" s="20" t="inlineStr">
        <is>
          <t>To Study / Read</t>
        </is>
      </c>
      <c r="F46" s="17" t="inlineStr">
        <is>
          <t>Education</t>
        </is>
      </c>
      <c r="G46" s="21" t="inlineStr"/>
      <c r="H46" s="22" t="inlineStr"/>
      <c r="I46" s="22" t="inlineStr"/>
      <c r="J46" s="22" t="inlineStr"/>
      <c r="K46" s="22" t="inlineStr"/>
      <c r="L46" s="22" t="inlineStr"/>
      <c r="M46" s="22" t="inlineStr"/>
      <c r="N46" s="22" t="inlineStr"/>
      <c r="O46" s="23">
        <f>COUNTIF(H46:N46,"&gt;=3")</f>
        <v/>
      </c>
      <c r="P46" s="24">
        <f>IF(COUNT(H46:N46)=0,"",COUNTIF(H46:N46,"&gt;=3")/COUNT(H46:N46))</f>
        <v/>
      </c>
      <c r="Q46" s="25">
        <f>IF(COUNT(H46:N46)=0,"",AVERAGE(H46:N46))</f>
        <v/>
      </c>
      <c r="R46" s="25">
        <f>IF(COUNT(H46:N46)&lt;2,"",STDEV(H46:N46))</f>
        <v/>
      </c>
      <c r="S46" s="26">
        <f>IF(COUNT(H46:N46)=0,"",COMBIN(COUNT(H46:N46),COUNTIF(H46:N46,"&gt;=3"))*0.5^COUNT(H46:N46))</f>
        <v/>
      </c>
      <c r="T46" s="25">
        <f>IFERROR(IF(P46="","",(P46-S46)/(1-S46)),"")</f>
        <v/>
      </c>
      <c r="U46" s="27">
        <f>IF(P46="","Awaiting",IF(P46&gt;=CVI_PASS,"PASS",IF(P46&gt;=CVI_BORDER,"BORDERLINE","FAIL")))</f>
        <v/>
      </c>
    </row>
    <row r="47">
      <c r="A47" s="9" t="inlineStr">
        <is>
          <t>V046</t>
        </is>
      </c>
      <c r="B47" s="17" t="inlineStr">
        <is>
          <t>Vocabulary</t>
        </is>
      </c>
      <c r="C47" s="18" t="inlineStr">
        <is>
          <t>पैसा</t>
        </is>
      </c>
      <c r="D47" s="19" t="inlineStr">
        <is>
          <t>Paisa</t>
        </is>
      </c>
      <c r="E47" s="20" t="inlineStr">
        <is>
          <t>Money</t>
        </is>
      </c>
      <c r="F47" s="17" t="inlineStr">
        <is>
          <t>Daily Life</t>
        </is>
      </c>
      <c r="G47" s="21" t="inlineStr"/>
      <c r="H47" s="22" t="inlineStr"/>
      <c r="I47" s="22" t="inlineStr"/>
      <c r="J47" s="22" t="inlineStr"/>
      <c r="K47" s="22" t="inlineStr"/>
      <c r="L47" s="22" t="inlineStr"/>
      <c r="M47" s="22" t="inlineStr"/>
      <c r="N47" s="22" t="inlineStr"/>
      <c r="O47" s="23">
        <f>COUNTIF(H47:N47,"&gt;=3")</f>
        <v/>
      </c>
      <c r="P47" s="24">
        <f>IF(COUNT(H47:N47)=0,"",COUNTIF(H47:N47,"&gt;=3")/COUNT(H47:N47))</f>
        <v/>
      </c>
      <c r="Q47" s="25">
        <f>IF(COUNT(H47:N47)=0,"",AVERAGE(H47:N47))</f>
        <v/>
      </c>
      <c r="R47" s="25">
        <f>IF(COUNT(H47:N47)&lt;2,"",STDEV(H47:N47))</f>
        <v/>
      </c>
      <c r="S47" s="26">
        <f>IF(COUNT(H47:N47)=0,"",COMBIN(COUNT(H47:N47),COUNTIF(H47:N47,"&gt;=3"))*0.5^COUNT(H47:N47))</f>
        <v/>
      </c>
      <c r="T47" s="25">
        <f>IFERROR(IF(P47="","",(P47-S47)/(1-S47)),"")</f>
        <v/>
      </c>
      <c r="U47" s="27">
        <f>IF(P47="","Awaiting",IF(P47&gt;=CVI_PASS,"PASS",IF(P47&gt;=CVI_BORDER,"BORDERLINE","FAIL")))</f>
        <v/>
      </c>
    </row>
    <row r="48">
      <c r="A48" s="9" t="inlineStr">
        <is>
          <t>V047</t>
        </is>
      </c>
      <c r="B48" s="17" t="inlineStr">
        <is>
          <t>Vocabulary</t>
        </is>
      </c>
      <c r="C48" s="18" t="inlineStr">
        <is>
          <t>शहर</t>
        </is>
      </c>
      <c r="D48" s="19" t="inlineStr">
        <is>
          <t>Sheher</t>
        </is>
      </c>
      <c r="E48" s="20" t="inlineStr">
        <is>
          <t>City / Town</t>
        </is>
      </c>
      <c r="F48" s="17" t="inlineStr">
        <is>
          <t>Daily Life</t>
        </is>
      </c>
      <c r="G48" s="21" t="inlineStr"/>
      <c r="H48" s="22" t="inlineStr"/>
      <c r="I48" s="22" t="inlineStr"/>
      <c r="J48" s="22" t="inlineStr"/>
      <c r="K48" s="22" t="inlineStr"/>
      <c r="L48" s="22" t="inlineStr"/>
      <c r="M48" s="22" t="inlineStr"/>
      <c r="N48" s="22" t="inlineStr"/>
      <c r="O48" s="23">
        <f>COUNTIF(H48:N48,"&gt;=3")</f>
        <v/>
      </c>
      <c r="P48" s="24">
        <f>IF(COUNT(H48:N48)=0,"",COUNTIF(H48:N48,"&gt;=3")/COUNT(H48:N48))</f>
        <v/>
      </c>
      <c r="Q48" s="25">
        <f>IF(COUNT(H48:N48)=0,"",AVERAGE(H48:N48))</f>
        <v/>
      </c>
      <c r="R48" s="25">
        <f>IF(COUNT(H48:N48)&lt;2,"",STDEV(H48:N48))</f>
        <v/>
      </c>
      <c r="S48" s="26">
        <f>IF(COUNT(H48:N48)=0,"",COMBIN(COUNT(H48:N48),COUNTIF(H48:N48,"&gt;=3"))*0.5^COUNT(H48:N48))</f>
        <v/>
      </c>
      <c r="T48" s="25">
        <f>IFERROR(IF(P48="","",(P48-S48)/(1-S48)),"")</f>
        <v/>
      </c>
      <c r="U48" s="27">
        <f>IF(P48="","Awaiting",IF(P48&gt;=CVI_PASS,"PASS",IF(P48&gt;=CVI_BORDER,"BORDERLINE","FAIL")))</f>
        <v/>
      </c>
    </row>
    <row r="49">
      <c r="A49" s="9" t="inlineStr">
        <is>
          <t>V048</t>
        </is>
      </c>
      <c r="B49" s="17" t="inlineStr">
        <is>
          <t>Vocabulary</t>
        </is>
      </c>
      <c r="C49" s="18" t="inlineStr">
        <is>
          <t>कपडा</t>
        </is>
      </c>
      <c r="D49" s="19" t="inlineStr">
        <is>
          <t>Kapda</t>
        </is>
      </c>
      <c r="E49" s="20" t="inlineStr">
        <is>
          <t>Cloth / Clothes</t>
        </is>
      </c>
      <c r="F49" s="17" t="inlineStr">
        <is>
          <t>Daily Life</t>
        </is>
      </c>
      <c r="G49" s="21" t="inlineStr"/>
      <c r="H49" s="22" t="inlineStr"/>
      <c r="I49" s="22" t="inlineStr"/>
      <c r="J49" s="22" t="inlineStr"/>
      <c r="K49" s="22" t="inlineStr"/>
      <c r="L49" s="22" t="inlineStr"/>
      <c r="M49" s="22" t="inlineStr"/>
      <c r="N49" s="22" t="inlineStr"/>
      <c r="O49" s="23">
        <f>COUNTIF(H49:N49,"&gt;=3")</f>
        <v/>
      </c>
      <c r="P49" s="24">
        <f>IF(COUNT(H49:N49)=0,"",COUNTIF(H49:N49,"&gt;=3")/COUNT(H49:N49))</f>
        <v/>
      </c>
      <c r="Q49" s="25">
        <f>IF(COUNT(H49:N49)=0,"",AVERAGE(H49:N49))</f>
        <v/>
      </c>
      <c r="R49" s="25">
        <f>IF(COUNT(H49:N49)&lt;2,"",STDEV(H49:N49))</f>
        <v/>
      </c>
      <c r="S49" s="26">
        <f>IF(COUNT(H49:N49)=0,"",COMBIN(COUNT(H49:N49),COUNTIF(H49:N49,"&gt;=3"))*0.5^COUNT(H49:N49))</f>
        <v/>
      </c>
      <c r="T49" s="25">
        <f>IFERROR(IF(P49="","",(P49-S49)/(1-S49)),"")</f>
        <v/>
      </c>
      <c r="U49" s="27">
        <f>IF(P49="","Awaiting",IF(P49&gt;=CVI_PASS,"PASS",IF(P49&gt;=CVI_BORDER,"BORDERLINE","FAIL")))</f>
        <v/>
      </c>
    </row>
    <row r="50">
      <c r="A50" s="9" t="inlineStr">
        <is>
          <t>V049</t>
        </is>
      </c>
      <c r="B50" s="17" t="inlineStr">
        <is>
          <t>Vocabulary</t>
        </is>
      </c>
      <c r="C50" s="18" t="inlineStr">
        <is>
          <t>साडी</t>
        </is>
      </c>
      <c r="D50" s="19" t="inlineStr">
        <is>
          <t>Saari</t>
        </is>
      </c>
      <c r="E50" s="20" t="inlineStr">
        <is>
          <t>Saree</t>
        </is>
      </c>
      <c r="F50" s="17" t="inlineStr">
        <is>
          <t>Daily Life</t>
        </is>
      </c>
      <c r="G50" s="21" t="inlineStr"/>
      <c r="H50" s="22" t="inlineStr"/>
      <c r="I50" s="22" t="inlineStr"/>
      <c r="J50" s="22" t="inlineStr"/>
      <c r="K50" s="22" t="inlineStr"/>
      <c r="L50" s="22" t="inlineStr"/>
      <c r="M50" s="22" t="inlineStr"/>
      <c r="N50" s="22" t="inlineStr"/>
      <c r="O50" s="23">
        <f>COUNTIF(H50:N50,"&gt;=3")</f>
        <v/>
      </c>
      <c r="P50" s="24">
        <f>IF(COUNT(H50:N50)=0,"",COUNTIF(H50:N50,"&gt;=3")/COUNT(H50:N50))</f>
        <v/>
      </c>
      <c r="Q50" s="25">
        <f>IF(COUNT(H50:N50)=0,"",AVERAGE(H50:N50))</f>
        <v/>
      </c>
      <c r="R50" s="25">
        <f>IF(COUNT(H50:N50)&lt;2,"",STDEV(H50:N50))</f>
        <v/>
      </c>
      <c r="S50" s="26">
        <f>IF(COUNT(H50:N50)=0,"",COMBIN(COUNT(H50:N50),COUNTIF(H50:N50,"&gt;=3"))*0.5^COUNT(H50:N50))</f>
        <v/>
      </c>
      <c r="T50" s="25">
        <f>IFERROR(IF(P50="","",(P50-S50)/(1-S50)),"")</f>
        <v/>
      </c>
      <c r="U50" s="27">
        <f>IF(P50="","Awaiting",IF(P50&gt;=CVI_PASS,"PASS",IF(P50&gt;=CVI_BORDER,"BORDERLINE","FAIL")))</f>
        <v/>
      </c>
    </row>
    <row r="51">
      <c r="A51" s="9" t="inlineStr">
        <is>
          <t>V050</t>
        </is>
      </c>
      <c r="B51" s="17" t="inlineStr">
        <is>
          <t>Vocabulary</t>
        </is>
      </c>
      <c r="C51" s="18" t="inlineStr">
        <is>
          <t>आदमी</t>
        </is>
      </c>
      <c r="D51" s="19" t="inlineStr">
        <is>
          <t>Aadmi</t>
        </is>
      </c>
      <c r="E51" s="20" t="inlineStr">
        <is>
          <t>Person / Man</t>
        </is>
      </c>
      <c r="F51" s="17" t="inlineStr">
        <is>
          <t>Daily Life</t>
        </is>
      </c>
      <c r="G51" s="21" t="inlineStr"/>
      <c r="H51" s="22" t="inlineStr"/>
      <c r="I51" s="22" t="inlineStr"/>
      <c r="J51" s="22" t="inlineStr"/>
      <c r="K51" s="22" t="inlineStr"/>
      <c r="L51" s="22" t="inlineStr"/>
      <c r="M51" s="22" t="inlineStr"/>
      <c r="N51" s="22" t="inlineStr"/>
      <c r="O51" s="23">
        <f>COUNTIF(H51:N51,"&gt;=3")</f>
        <v/>
      </c>
      <c r="P51" s="24">
        <f>IF(COUNT(H51:N51)=0,"",COUNTIF(H51:N51,"&gt;=3")/COUNT(H51:N51))</f>
        <v/>
      </c>
      <c r="Q51" s="25">
        <f>IF(COUNT(H51:N51)=0,"",AVERAGE(H51:N51))</f>
        <v/>
      </c>
      <c r="R51" s="25">
        <f>IF(COUNT(H51:N51)&lt;2,"",STDEV(H51:N51))</f>
        <v/>
      </c>
      <c r="S51" s="26">
        <f>IF(COUNT(H51:N51)=0,"",COMBIN(COUNT(H51:N51),COUNTIF(H51:N51,"&gt;=3"))*0.5^COUNT(H51:N51))</f>
        <v/>
      </c>
      <c r="T51" s="25">
        <f>IFERROR(IF(P51="","",(P51-S51)/(1-S51)),"")</f>
        <v/>
      </c>
      <c r="U51" s="27">
        <f>IF(P51="","Awaiting",IF(P51&gt;=CVI_PASS,"PASS",IF(P51&gt;=CVI_BORDER,"BORDERLINE","FAIL")))</f>
        <v/>
      </c>
    </row>
    <row r="52">
      <c r="A52" s="9" t="inlineStr">
        <is>
          <t>V051</t>
        </is>
      </c>
      <c r="B52" s="17" t="inlineStr">
        <is>
          <t>Vocabulary</t>
        </is>
      </c>
      <c r="C52" s="18" t="inlineStr">
        <is>
          <t>फ़ुटबाल</t>
        </is>
      </c>
      <c r="D52" s="19" t="inlineStr">
        <is>
          <t>Football</t>
        </is>
      </c>
      <c r="E52" s="20" t="inlineStr">
        <is>
          <t>Football</t>
        </is>
      </c>
      <c r="F52" s="17" t="inlineStr">
        <is>
          <t>Daily Life</t>
        </is>
      </c>
      <c r="G52" s="21" t="inlineStr"/>
      <c r="H52" s="22" t="inlineStr"/>
      <c r="I52" s="22" t="inlineStr"/>
      <c r="J52" s="22" t="inlineStr"/>
      <c r="K52" s="22" t="inlineStr"/>
      <c r="L52" s="22" t="inlineStr"/>
      <c r="M52" s="22" t="inlineStr"/>
      <c r="N52" s="22" t="inlineStr"/>
      <c r="O52" s="23">
        <f>COUNTIF(H52:N52,"&gt;=3")</f>
        <v/>
      </c>
      <c r="P52" s="24">
        <f>IF(COUNT(H52:N52)=0,"",COUNTIF(H52:N52,"&gt;=3")/COUNT(H52:N52))</f>
        <v/>
      </c>
      <c r="Q52" s="25">
        <f>IF(COUNT(H52:N52)=0,"",AVERAGE(H52:N52))</f>
        <v/>
      </c>
      <c r="R52" s="25">
        <f>IF(COUNT(H52:N52)&lt;2,"",STDEV(H52:N52))</f>
        <v/>
      </c>
      <c r="S52" s="26">
        <f>IF(COUNT(H52:N52)=0,"",COMBIN(COUNT(H52:N52),COUNTIF(H52:N52,"&gt;=3"))*0.5^COUNT(H52:N52))</f>
        <v/>
      </c>
      <c r="T52" s="25">
        <f>IFERROR(IF(P52="","",(P52-S52)/(1-S52)),"")</f>
        <v/>
      </c>
      <c r="U52" s="27">
        <f>IF(P52="","Awaiting",IF(P52&gt;=CVI_PASS,"PASS",IF(P52&gt;=CVI_BORDER,"BORDERLINE","FAIL")))</f>
        <v/>
      </c>
    </row>
    <row r="53">
      <c r="A53" s="9" t="inlineStr">
        <is>
          <t>V052</t>
        </is>
      </c>
      <c r="B53" s="17" t="inlineStr">
        <is>
          <t>Vocabulary</t>
        </is>
      </c>
      <c r="C53" s="18" t="inlineStr">
        <is>
          <t>रोज</t>
        </is>
      </c>
      <c r="D53" s="19" t="inlineStr">
        <is>
          <t>Roz</t>
        </is>
      </c>
      <c r="E53" s="20" t="inlineStr">
        <is>
          <t>Daily / Every Day</t>
        </is>
      </c>
      <c r="F53" s="17" t="inlineStr">
        <is>
          <t>Daily Life</t>
        </is>
      </c>
      <c r="G53" s="21" t="inlineStr"/>
      <c r="H53" s="22" t="inlineStr"/>
      <c r="I53" s="22" t="inlineStr"/>
      <c r="J53" s="22" t="inlineStr"/>
      <c r="K53" s="22" t="inlineStr"/>
      <c r="L53" s="22" t="inlineStr"/>
      <c r="M53" s="22" t="inlineStr"/>
      <c r="N53" s="22" t="inlineStr"/>
      <c r="O53" s="23">
        <f>COUNTIF(H53:N53,"&gt;=3")</f>
        <v/>
      </c>
      <c r="P53" s="24">
        <f>IF(COUNT(H53:N53)=0,"",COUNTIF(H53:N53,"&gt;=3")/COUNT(H53:N53))</f>
        <v/>
      </c>
      <c r="Q53" s="25">
        <f>IF(COUNT(H53:N53)=0,"",AVERAGE(H53:N53))</f>
        <v/>
      </c>
      <c r="R53" s="25">
        <f>IF(COUNT(H53:N53)&lt;2,"",STDEV(H53:N53))</f>
        <v/>
      </c>
      <c r="S53" s="26">
        <f>IF(COUNT(H53:N53)=0,"",COMBIN(COUNT(H53:N53),COUNTIF(H53:N53,"&gt;=3"))*0.5^COUNT(H53:N53))</f>
        <v/>
      </c>
      <c r="T53" s="25">
        <f>IFERROR(IF(P53="","",(P53-S53)/(1-S53)),"")</f>
        <v/>
      </c>
      <c r="U53" s="27">
        <f>IF(P53="","Awaiting",IF(P53&gt;=CVI_PASS,"PASS",IF(P53&gt;=CVI_BORDER,"BORDERLINE","FAIL")))</f>
        <v/>
      </c>
    </row>
    <row r="54">
      <c r="A54" s="9" t="inlineStr">
        <is>
          <t>V053</t>
        </is>
      </c>
      <c r="B54" s="17" t="inlineStr">
        <is>
          <t>Vocabulary</t>
        </is>
      </c>
      <c r="C54" s="18" t="inlineStr">
        <is>
          <t>कल</t>
        </is>
      </c>
      <c r="D54" s="19" t="inlineStr">
        <is>
          <t>Kal</t>
        </is>
      </c>
      <c r="E54" s="20" t="inlineStr">
        <is>
          <t>Tomorrow / Yesterday</t>
        </is>
      </c>
      <c r="F54" s="17" t="inlineStr">
        <is>
          <t>Daily Life</t>
        </is>
      </c>
      <c r="G54" s="21" t="inlineStr"/>
      <c r="H54" s="22" t="inlineStr"/>
      <c r="I54" s="22" t="inlineStr"/>
      <c r="J54" s="22" t="inlineStr"/>
      <c r="K54" s="22" t="inlineStr"/>
      <c r="L54" s="22" t="inlineStr"/>
      <c r="M54" s="22" t="inlineStr"/>
      <c r="N54" s="22" t="inlineStr"/>
      <c r="O54" s="23">
        <f>COUNTIF(H54:N54,"&gt;=3")</f>
        <v/>
      </c>
      <c r="P54" s="24">
        <f>IF(COUNT(H54:N54)=0,"",COUNTIF(H54:N54,"&gt;=3")/COUNT(H54:N54))</f>
        <v/>
      </c>
      <c r="Q54" s="25">
        <f>IF(COUNT(H54:N54)=0,"",AVERAGE(H54:N54))</f>
        <v/>
      </c>
      <c r="R54" s="25">
        <f>IF(COUNT(H54:N54)&lt;2,"",STDEV(H54:N54))</f>
        <v/>
      </c>
      <c r="S54" s="26">
        <f>IF(COUNT(H54:N54)=0,"",COMBIN(COUNT(H54:N54),COUNTIF(H54:N54,"&gt;=3"))*0.5^COUNT(H54:N54))</f>
        <v/>
      </c>
      <c r="T54" s="25">
        <f>IFERROR(IF(P54="","",(P54-S54)/(1-S54)),"")</f>
        <v/>
      </c>
      <c r="U54" s="27">
        <f>IF(P54="","Awaiting",IF(P54&gt;=CVI_PASS,"PASS",IF(P54&gt;=CVI_BORDER,"BORDERLINE","FAIL")))</f>
        <v/>
      </c>
    </row>
    <row r="55">
      <c r="A55" s="9" t="inlineStr">
        <is>
          <t>V054</t>
        </is>
      </c>
      <c r="B55" s="17" t="inlineStr">
        <is>
          <t>Vocabulary</t>
        </is>
      </c>
      <c r="C55" s="18" t="inlineStr">
        <is>
          <t>दिन</t>
        </is>
      </c>
      <c r="D55" s="19" t="inlineStr">
        <is>
          <t>Din</t>
        </is>
      </c>
      <c r="E55" s="20" t="inlineStr">
        <is>
          <t>Day</t>
        </is>
      </c>
      <c r="F55" s="17" t="inlineStr">
        <is>
          <t>Daily Life</t>
        </is>
      </c>
      <c r="G55" s="21" t="inlineStr"/>
      <c r="H55" s="22" t="inlineStr"/>
      <c r="I55" s="22" t="inlineStr"/>
      <c r="J55" s="22" t="inlineStr"/>
      <c r="K55" s="22" t="inlineStr"/>
      <c r="L55" s="22" t="inlineStr"/>
      <c r="M55" s="22" t="inlineStr"/>
      <c r="N55" s="22" t="inlineStr"/>
      <c r="O55" s="23">
        <f>COUNTIF(H55:N55,"&gt;=3")</f>
        <v/>
      </c>
      <c r="P55" s="24">
        <f>IF(COUNT(H55:N55)=0,"",COUNTIF(H55:N55,"&gt;=3")/COUNT(H55:N55))</f>
        <v/>
      </c>
      <c r="Q55" s="25">
        <f>IF(COUNT(H55:N55)=0,"",AVERAGE(H55:N55))</f>
        <v/>
      </c>
      <c r="R55" s="25">
        <f>IF(COUNT(H55:N55)&lt;2,"",STDEV(H55:N55))</f>
        <v/>
      </c>
      <c r="S55" s="26">
        <f>IF(COUNT(H55:N55)=0,"",COMBIN(COUNT(H55:N55),COUNTIF(H55:N55,"&gt;=3"))*0.5^COUNT(H55:N55))</f>
        <v/>
      </c>
      <c r="T55" s="25">
        <f>IFERROR(IF(P55="","",(P55-S55)/(1-S55)),"")</f>
        <v/>
      </c>
      <c r="U55" s="27">
        <f>IF(P55="","Awaiting",IF(P55&gt;=CVI_PASS,"PASS",IF(P55&gt;=CVI_BORDER,"BORDERLINE","FAIL")))</f>
        <v/>
      </c>
    </row>
    <row r="56">
      <c r="A56" s="9" t="inlineStr">
        <is>
          <t>V055</t>
        </is>
      </c>
      <c r="B56" s="17" t="inlineStr">
        <is>
          <t>Vocabulary</t>
        </is>
      </c>
      <c r="C56" s="18" t="inlineStr">
        <is>
          <t>रसम</t>
        </is>
      </c>
      <c r="D56" s="19" t="inlineStr">
        <is>
          <t>Rasm</t>
        </is>
      </c>
      <c r="E56" s="20" t="inlineStr">
        <is>
          <t>Ritual / Custom</t>
        </is>
      </c>
      <c r="F56" s="17" t="inlineStr">
        <is>
          <t>Cultural</t>
        </is>
      </c>
      <c r="G56" s="21" t="inlineStr"/>
      <c r="H56" s="22" t="inlineStr"/>
      <c r="I56" s="22" t="inlineStr"/>
      <c r="J56" s="22" t="inlineStr"/>
      <c r="K56" s="22" t="inlineStr"/>
      <c r="L56" s="22" t="inlineStr"/>
      <c r="M56" s="22" t="inlineStr"/>
      <c r="N56" s="22" t="inlineStr"/>
      <c r="O56" s="23">
        <f>COUNTIF(H56:N56,"&gt;=3")</f>
        <v/>
      </c>
      <c r="P56" s="24">
        <f>IF(COUNT(H56:N56)=0,"",COUNTIF(H56:N56,"&gt;=3")/COUNT(H56:N56))</f>
        <v/>
      </c>
      <c r="Q56" s="25">
        <f>IF(COUNT(H56:N56)=0,"",AVERAGE(H56:N56))</f>
        <v/>
      </c>
      <c r="R56" s="25">
        <f>IF(COUNT(H56:N56)&lt;2,"",STDEV(H56:N56))</f>
        <v/>
      </c>
      <c r="S56" s="26">
        <f>IF(COUNT(H56:N56)=0,"",COMBIN(COUNT(H56:N56),COUNTIF(H56:N56,"&gt;=3"))*0.5^COUNT(H56:N56))</f>
        <v/>
      </c>
      <c r="T56" s="25">
        <f>IFERROR(IF(P56="","",(P56-S56)/(1-S56)),"")</f>
        <v/>
      </c>
      <c r="U56" s="27">
        <f>IF(P56="","Awaiting",IF(P56&gt;=CVI_PASS,"PASS",IF(P56&gt;=CVI_BORDER,"BORDERLINE","FAIL")))</f>
        <v/>
      </c>
    </row>
    <row r="57">
      <c r="A57" s="9" t="inlineStr">
        <is>
          <t>V056</t>
        </is>
      </c>
      <c r="B57" s="17" t="inlineStr">
        <is>
          <t>Vocabulary</t>
        </is>
      </c>
      <c r="C57" s="18" t="inlineStr">
        <is>
          <t>बिआह</t>
        </is>
      </c>
      <c r="D57" s="19" t="inlineStr">
        <is>
          <t>Biaah</t>
        </is>
      </c>
      <c r="E57" s="20" t="inlineStr">
        <is>
          <t>Wedding / Marriage</t>
        </is>
      </c>
      <c r="F57" s="17" t="inlineStr">
        <is>
          <t>Cultural</t>
        </is>
      </c>
      <c r="G57" s="21" t="inlineStr"/>
      <c r="H57" s="22" t="inlineStr"/>
      <c r="I57" s="22" t="inlineStr"/>
      <c r="J57" s="22" t="inlineStr"/>
      <c r="K57" s="22" t="inlineStr"/>
      <c r="L57" s="22" t="inlineStr"/>
      <c r="M57" s="22" t="inlineStr"/>
      <c r="N57" s="22" t="inlineStr"/>
      <c r="O57" s="23">
        <f>COUNTIF(H57:N57,"&gt;=3")</f>
        <v/>
      </c>
      <c r="P57" s="24">
        <f>IF(COUNT(H57:N57)=0,"",COUNTIF(H57:N57,"&gt;=3")/COUNT(H57:N57))</f>
        <v/>
      </c>
      <c r="Q57" s="25">
        <f>IF(COUNT(H57:N57)=0,"",AVERAGE(H57:N57))</f>
        <v/>
      </c>
      <c r="R57" s="25">
        <f>IF(COUNT(H57:N57)&lt;2,"",STDEV(H57:N57))</f>
        <v/>
      </c>
      <c r="S57" s="26">
        <f>IF(COUNT(H57:N57)=0,"",COMBIN(COUNT(H57:N57),COUNTIF(H57:N57,"&gt;=3"))*0.5^COUNT(H57:N57))</f>
        <v/>
      </c>
      <c r="T57" s="25">
        <f>IFERROR(IF(P57="","",(P57-S57)/(1-S57)),"")</f>
        <v/>
      </c>
      <c r="U57" s="27">
        <f>IF(P57="","Awaiting",IF(P57&gt;=CVI_PASS,"PASS",IF(P57&gt;=CVI_BORDER,"BORDERLINE","FAIL")))</f>
        <v/>
      </c>
    </row>
    <row r="58">
      <c r="A58" s="9" t="inlineStr">
        <is>
          <t>V057</t>
        </is>
      </c>
      <c r="B58" s="17" t="inlineStr">
        <is>
          <t>Vocabulary</t>
        </is>
      </c>
      <c r="C58" s="18" t="inlineStr">
        <is>
          <t>नामकरन</t>
        </is>
      </c>
      <c r="D58" s="19" t="inlineStr">
        <is>
          <t>Naamkaran</t>
        </is>
      </c>
      <c r="E58" s="20" t="inlineStr">
        <is>
          <t>Naming Ceremony</t>
        </is>
      </c>
      <c r="F58" s="17" t="inlineStr">
        <is>
          <t>Cultural</t>
        </is>
      </c>
      <c r="G58" s="21" t="inlineStr"/>
      <c r="H58" s="22" t="inlineStr"/>
      <c r="I58" s="22" t="inlineStr"/>
      <c r="J58" s="22" t="inlineStr"/>
      <c r="K58" s="22" t="inlineStr"/>
      <c r="L58" s="22" t="inlineStr"/>
      <c r="M58" s="22" t="inlineStr"/>
      <c r="N58" s="22" t="inlineStr"/>
      <c r="O58" s="23">
        <f>COUNTIF(H58:N58,"&gt;=3")</f>
        <v/>
      </c>
      <c r="P58" s="24">
        <f>IF(COUNT(H58:N58)=0,"",COUNTIF(H58:N58,"&gt;=3")/COUNT(H58:N58))</f>
        <v/>
      </c>
      <c r="Q58" s="25">
        <f>IF(COUNT(H58:N58)=0,"",AVERAGE(H58:N58))</f>
        <v/>
      </c>
      <c r="R58" s="25">
        <f>IF(COUNT(H58:N58)&lt;2,"",STDEV(H58:N58))</f>
        <v/>
      </c>
      <c r="S58" s="26">
        <f>IF(COUNT(H58:N58)=0,"",COMBIN(COUNT(H58:N58),COUNTIF(H58:N58,"&gt;=3"))*0.5^COUNT(H58:N58))</f>
        <v/>
      </c>
      <c r="T58" s="25">
        <f>IFERROR(IF(P58="","",(P58-S58)/(1-S58)),"")</f>
        <v/>
      </c>
      <c r="U58" s="27">
        <f>IF(P58="","Awaiting",IF(P58&gt;=CVI_PASS,"PASS",IF(P58&gt;=CVI_BORDER,"BORDERLINE","FAIL")))</f>
        <v/>
      </c>
    </row>
    <row r="59">
      <c r="A59" s="9" t="inlineStr">
        <is>
          <t>V058</t>
        </is>
      </c>
      <c r="B59" s="17" t="inlineStr">
        <is>
          <t>Vocabulary</t>
        </is>
      </c>
      <c r="C59" s="18" t="inlineStr">
        <is>
          <t>जनम</t>
        </is>
      </c>
      <c r="D59" s="19" t="inlineStr">
        <is>
          <t>Janam</t>
        </is>
      </c>
      <c r="E59" s="20" t="inlineStr">
        <is>
          <t>Birth</t>
        </is>
      </c>
      <c r="F59" s="17" t="inlineStr">
        <is>
          <t>Cultural</t>
        </is>
      </c>
      <c r="G59" s="21" t="inlineStr"/>
      <c r="H59" s="22" t="inlineStr"/>
      <c r="I59" s="22" t="inlineStr"/>
      <c r="J59" s="22" t="inlineStr"/>
      <c r="K59" s="22" t="inlineStr"/>
      <c r="L59" s="22" t="inlineStr"/>
      <c r="M59" s="22" t="inlineStr"/>
      <c r="N59" s="22" t="inlineStr"/>
      <c r="O59" s="23">
        <f>COUNTIF(H59:N59,"&gt;=3")</f>
        <v/>
      </c>
      <c r="P59" s="24">
        <f>IF(COUNT(H59:N59)=0,"",COUNTIF(H59:N59,"&gt;=3")/COUNT(H59:N59))</f>
        <v/>
      </c>
      <c r="Q59" s="25">
        <f>IF(COUNT(H59:N59)=0,"",AVERAGE(H59:N59))</f>
        <v/>
      </c>
      <c r="R59" s="25">
        <f>IF(COUNT(H59:N59)&lt;2,"",STDEV(H59:N59))</f>
        <v/>
      </c>
      <c r="S59" s="26">
        <f>IF(COUNT(H59:N59)=0,"",COMBIN(COUNT(H59:N59),COUNTIF(H59:N59,"&gt;=3"))*0.5^COUNT(H59:N59))</f>
        <v/>
      </c>
      <c r="T59" s="25">
        <f>IFERROR(IF(P59="","",(P59-S59)/(1-S59)),"")</f>
        <v/>
      </c>
      <c r="U59" s="27">
        <f>IF(P59="","Awaiting",IF(P59&gt;=CVI_PASS,"PASS",IF(P59&gt;=CVI_BORDER,"BORDERLINE","FAIL")))</f>
        <v/>
      </c>
    </row>
    <row r="60">
      <c r="A60" s="9" t="inlineStr">
        <is>
          <t>V059</t>
        </is>
      </c>
      <c r="B60" s="17" t="inlineStr">
        <is>
          <t>Vocabulary</t>
        </is>
      </c>
      <c r="C60" s="18" t="inlineStr">
        <is>
          <t>पंडित</t>
        </is>
      </c>
      <c r="D60" s="19" t="inlineStr">
        <is>
          <t>Pandit</t>
        </is>
      </c>
      <c r="E60" s="20" t="inlineStr">
        <is>
          <t>Priest / Scholar</t>
        </is>
      </c>
      <c r="F60" s="17" t="inlineStr">
        <is>
          <t>Cultural</t>
        </is>
      </c>
      <c r="G60" s="21" t="inlineStr"/>
      <c r="H60" s="22" t="inlineStr"/>
      <c r="I60" s="22" t="inlineStr"/>
      <c r="J60" s="22" t="inlineStr"/>
      <c r="K60" s="22" t="inlineStr"/>
      <c r="L60" s="22" t="inlineStr"/>
      <c r="M60" s="22" t="inlineStr"/>
      <c r="N60" s="22" t="inlineStr"/>
      <c r="O60" s="23">
        <f>COUNTIF(H60:N60,"&gt;=3")</f>
        <v/>
      </c>
      <c r="P60" s="24">
        <f>IF(COUNT(H60:N60)=0,"",COUNTIF(H60:N60,"&gt;=3")/COUNT(H60:N60))</f>
        <v/>
      </c>
      <c r="Q60" s="25">
        <f>IF(COUNT(H60:N60)=0,"",AVERAGE(H60:N60))</f>
        <v/>
      </c>
      <c r="R60" s="25">
        <f>IF(COUNT(H60:N60)&lt;2,"",STDEV(H60:N60))</f>
        <v/>
      </c>
      <c r="S60" s="26">
        <f>IF(COUNT(H60:N60)=0,"",COMBIN(COUNT(H60:N60),COUNTIF(H60:N60,"&gt;=3"))*0.5^COUNT(H60:N60))</f>
        <v/>
      </c>
      <c r="T60" s="25">
        <f>IFERROR(IF(P60="","",(P60-S60)/(1-S60)),"")</f>
        <v/>
      </c>
      <c r="U60" s="27">
        <f>IF(P60="","Awaiting",IF(P60&gt;=CVI_PASS,"PASS",IF(P60&gt;=CVI_BORDER,"BORDERLINE","FAIL")))</f>
        <v/>
      </c>
    </row>
    <row r="61">
      <c r="A61" s="9" t="inlineStr">
        <is>
          <t>V060</t>
        </is>
      </c>
      <c r="B61" s="17" t="inlineStr">
        <is>
          <t>Vocabulary</t>
        </is>
      </c>
      <c r="C61" s="18" t="inlineStr">
        <is>
          <t>आशीर्वाद</t>
        </is>
      </c>
      <c r="D61" s="19" t="inlineStr">
        <is>
          <t>Aashirvaad</t>
        </is>
      </c>
      <c r="E61" s="20" t="inlineStr">
        <is>
          <t>Blessing</t>
        </is>
      </c>
      <c r="F61" s="17" t="inlineStr">
        <is>
          <t>Cultural</t>
        </is>
      </c>
      <c r="G61" s="21" t="inlineStr"/>
      <c r="H61" s="22" t="inlineStr"/>
      <c r="I61" s="22" t="inlineStr"/>
      <c r="J61" s="22" t="inlineStr"/>
      <c r="K61" s="22" t="inlineStr"/>
      <c r="L61" s="22" t="inlineStr"/>
      <c r="M61" s="22" t="inlineStr"/>
      <c r="N61" s="22" t="inlineStr"/>
      <c r="O61" s="23">
        <f>COUNTIF(H61:N61,"&gt;=3")</f>
        <v/>
      </c>
      <c r="P61" s="24">
        <f>IF(COUNT(H61:N61)=0,"",COUNTIF(H61:N61,"&gt;=3")/COUNT(H61:N61))</f>
        <v/>
      </c>
      <c r="Q61" s="25">
        <f>IF(COUNT(H61:N61)=0,"",AVERAGE(H61:N61))</f>
        <v/>
      </c>
      <c r="R61" s="25">
        <f>IF(COUNT(H61:N61)&lt;2,"",STDEV(H61:N61))</f>
        <v/>
      </c>
      <c r="S61" s="26">
        <f>IF(COUNT(H61:N61)=0,"",COMBIN(COUNT(H61:N61),COUNTIF(H61:N61,"&gt;=3"))*0.5^COUNT(H61:N61))</f>
        <v/>
      </c>
      <c r="T61" s="25">
        <f>IFERROR(IF(P61="","",(P61-S61)/(1-S61)),"")</f>
        <v/>
      </c>
      <c r="U61" s="27">
        <f>IF(P61="","Awaiting",IF(P61&gt;=CVI_PASS,"PASS",IF(P61&gt;=CVI_BORDER,"BORDERLINE","FAIL")))</f>
        <v/>
      </c>
    </row>
    <row r="62">
      <c r="A62" s="9" t="inlineStr">
        <is>
          <t>V061</t>
        </is>
      </c>
      <c r="B62" s="17" t="inlineStr">
        <is>
          <t>Vocabulary</t>
        </is>
      </c>
      <c r="C62" s="18" t="inlineStr">
        <is>
          <t>तिलक</t>
        </is>
      </c>
      <c r="D62" s="19" t="inlineStr">
        <is>
          <t>Tilak</t>
        </is>
      </c>
      <c r="E62" s="20" t="inlineStr">
        <is>
          <t>Pre-Wedding Ritual (bride's family accepts groom)</t>
        </is>
      </c>
      <c r="F62" s="17" t="inlineStr">
        <is>
          <t>Cultural</t>
        </is>
      </c>
      <c r="G62" s="21" t="inlineStr"/>
      <c r="H62" s="22" t="inlineStr"/>
      <c r="I62" s="22" t="inlineStr"/>
      <c r="J62" s="22" t="inlineStr"/>
      <c r="K62" s="22" t="inlineStr"/>
      <c r="L62" s="22" t="inlineStr"/>
      <c r="M62" s="22" t="inlineStr"/>
      <c r="N62" s="22" t="inlineStr"/>
      <c r="O62" s="23">
        <f>COUNTIF(H62:N62,"&gt;=3")</f>
        <v/>
      </c>
      <c r="P62" s="24">
        <f>IF(COUNT(H62:N62)=0,"",COUNTIF(H62:N62,"&gt;=3")/COUNT(H62:N62))</f>
        <v/>
      </c>
      <c r="Q62" s="25">
        <f>IF(COUNT(H62:N62)=0,"",AVERAGE(H62:N62))</f>
        <v/>
      </c>
      <c r="R62" s="25">
        <f>IF(COUNT(H62:N62)&lt;2,"",STDEV(H62:N62))</f>
        <v/>
      </c>
      <c r="S62" s="26">
        <f>IF(COUNT(H62:N62)=0,"",COMBIN(COUNT(H62:N62),COUNTIF(H62:N62,"&gt;=3"))*0.5^COUNT(H62:N62))</f>
        <v/>
      </c>
      <c r="T62" s="25">
        <f>IFERROR(IF(P62="","",(P62-S62)/(1-S62)),"")</f>
        <v/>
      </c>
      <c r="U62" s="27">
        <f>IF(P62="","Awaiting",IF(P62&gt;=CVI_PASS,"PASS",IF(P62&gt;=CVI_BORDER,"BORDERLINE","FAIL")))</f>
        <v/>
      </c>
    </row>
    <row r="63">
      <c r="A63" s="9" t="inlineStr">
        <is>
          <t>V062</t>
        </is>
      </c>
      <c r="B63" s="17" t="inlineStr">
        <is>
          <t>Vocabulary</t>
        </is>
      </c>
      <c r="C63" s="18" t="inlineStr">
        <is>
          <t>सिन्दूर</t>
        </is>
      </c>
      <c r="D63" s="19" t="inlineStr">
        <is>
          <t>Sindoor</t>
        </is>
      </c>
      <c r="E63" s="20" t="inlineStr">
        <is>
          <t>Vermilion (Wedding Custom)</t>
        </is>
      </c>
      <c r="F63" s="17" t="inlineStr">
        <is>
          <t>Cultural</t>
        </is>
      </c>
      <c r="G63" s="21" t="inlineStr"/>
      <c r="H63" s="22" t="inlineStr"/>
      <c r="I63" s="22" t="inlineStr"/>
      <c r="J63" s="22" t="inlineStr"/>
      <c r="K63" s="22" t="inlineStr"/>
      <c r="L63" s="22" t="inlineStr"/>
      <c r="M63" s="22" t="inlineStr"/>
      <c r="N63" s="22" t="inlineStr"/>
      <c r="O63" s="23">
        <f>COUNTIF(H63:N63,"&gt;=3")</f>
        <v/>
      </c>
      <c r="P63" s="24">
        <f>IF(COUNT(H63:N63)=0,"",COUNTIF(H63:N63,"&gt;=3")/COUNT(H63:N63))</f>
        <v/>
      </c>
      <c r="Q63" s="25">
        <f>IF(COUNT(H63:N63)=0,"",AVERAGE(H63:N63))</f>
        <v/>
      </c>
      <c r="R63" s="25">
        <f>IF(COUNT(H63:N63)&lt;2,"",STDEV(H63:N63))</f>
        <v/>
      </c>
      <c r="S63" s="26">
        <f>IF(COUNT(H63:N63)=0,"",COMBIN(COUNT(H63:N63),COUNTIF(H63:N63,"&gt;=3"))*0.5^COUNT(H63:N63))</f>
        <v/>
      </c>
      <c r="T63" s="25">
        <f>IFERROR(IF(P63="","",(P63-S63)/(1-S63)),"")</f>
        <v/>
      </c>
      <c r="U63" s="27">
        <f>IF(P63="","Awaiting",IF(P63&gt;=CVI_PASS,"PASS",IF(P63&gt;=CVI_BORDER,"BORDERLINE","FAIL")))</f>
        <v/>
      </c>
    </row>
    <row r="64">
      <c r="A64" s="9" t="inlineStr">
        <is>
          <t>V063</t>
        </is>
      </c>
      <c r="B64" s="17" t="inlineStr">
        <is>
          <t>Vocabulary</t>
        </is>
      </c>
      <c r="C64" s="18" t="inlineStr">
        <is>
          <t>गवनौ</t>
        </is>
      </c>
      <c r="D64" s="19" t="inlineStr">
        <is>
          <t>Gavanau</t>
        </is>
      </c>
      <c r="E64" s="20" t="inlineStr">
        <is>
          <t>Farewell (Bride's Departure)</t>
        </is>
      </c>
      <c r="F64" s="17" t="inlineStr">
        <is>
          <t>Cultural</t>
        </is>
      </c>
      <c r="G64" s="21" t="inlineStr"/>
      <c r="H64" s="22" t="inlineStr"/>
      <c r="I64" s="22" t="inlineStr"/>
      <c r="J64" s="22" t="inlineStr"/>
      <c r="K64" s="22" t="inlineStr"/>
      <c r="L64" s="22" t="inlineStr"/>
      <c r="M64" s="22" t="inlineStr"/>
      <c r="N64" s="22" t="inlineStr"/>
      <c r="O64" s="23">
        <f>COUNTIF(H64:N64,"&gt;=3")</f>
        <v/>
      </c>
      <c r="P64" s="24">
        <f>IF(COUNT(H64:N64)=0,"",COUNTIF(H64:N64,"&gt;=3")/COUNT(H64:N64))</f>
        <v/>
      </c>
      <c r="Q64" s="25">
        <f>IF(COUNT(H64:N64)=0,"",AVERAGE(H64:N64))</f>
        <v/>
      </c>
      <c r="R64" s="25">
        <f>IF(COUNT(H64:N64)&lt;2,"",STDEV(H64:N64))</f>
        <v/>
      </c>
      <c r="S64" s="26">
        <f>IF(COUNT(H64:N64)=0,"",COMBIN(COUNT(H64:N64),COUNTIF(H64:N64,"&gt;=3"))*0.5^COUNT(H64:N64))</f>
        <v/>
      </c>
      <c r="T64" s="25">
        <f>IFERROR(IF(P64="","",(P64-S64)/(1-S64)),"")</f>
        <v/>
      </c>
      <c r="U64" s="27">
        <f>IF(P64="","Awaiting",IF(P64&gt;=CVI_PASS,"PASS",IF(P64&gt;=CVI_BORDER,"BORDERLINE","FAIL")))</f>
        <v/>
      </c>
    </row>
    <row r="65">
      <c r="A65" s="9" t="inlineStr">
        <is>
          <t>V064</t>
        </is>
      </c>
      <c r="B65" s="17" t="inlineStr">
        <is>
          <t>Vocabulary</t>
        </is>
      </c>
      <c r="C65" s="18" t="inlineStr">
        <is>
          <t>तेरहवीं</t>
        </is>
      </c>
      <c r="D65" s="19" t="inlineStr">
        <is>
          <t>Terhaveen</t>
        </is>
      </c>
      <c r="E65" s="20" t="inlineStr">
        <is>
          <t>13th Day Death Ritual</t>
        </is>
      </c>
      <c r="F65" s="17" t="inlineStr">
        <is>
          <t>Cultural</t>
        </is>
      </c>
      <c r="G65" s="21" t="inlineStr"/>
      <c r="H65" s="22" t="inlineStr"/>
      <c r="I65" s="22" t="inlineStr"/>
      <c r="J65" s="22" t="inlineStr"/>
      <c r="K65" s="22" t="inlineStr"/>
      <c r="L65" s="22" t="inlineStr"/>
      <c r="M65" s="22" t="inlineStr"/>
      <c r="N65" s="22" t="inlineStr"/>
      <c r="O65" s="23">
        <f>COUNTIF(H65:N65,"&gt;=3")</f>
        <v/>
      </c>
      <c r="P65" s="24">
        <f>IF(COUNT(H65:N65)=0,"",COUNTIF(H65:N65,"&gt;=3")/COUNT(H65:N65))</f>
        <v/>
      </c>
      <c r="Q65" s="25">
        <f>IF(COUNT(H65:N65)=0,"",AVERAGE(H65:N65))</f>
        <v/>
      </c>
      <c r="R65" s="25">
        <f>IF(COUNT(H65:N65)&lt;2,"",STDEV(H65:N65))</f>
        <v/>
      </c>
      <c r="S65" s="26">
        <f>IF(COUNT(H65:N65)=0,"",COMBIN(COUNT(H65:N65),COUNTIF(H65:N65,"&gt;=3"))*0.5^COUNT(H65:N65))</f>
        <v/>
      </c>
      <c r="T65" s="25">
        <f>IFERROR(IF(P65="","",(P65-S65)/(1-S65)),"")</f>
        <v/>
      </c>
      <c r="U65" s="27">
        <f>IF(P65="","Awaiting",IF(P65&gt;=CVI_PASS,"PASS",IF(P65&gt;=CVI_BORDER,"BORDERLINE","FAIL")))</f>
        <v/>
      </c>
    </row>
    <row r="66">
      <c r="A66" s="9" t="inlineStr">
        <is>
          <t>L001</t>
        </is>
      </c>
      <c r="B66" s="17" t="inlineStr">
        <is>
          <t>Lesson Sentence</t>
        </is>
      </c>
      <c r="C66" s="18" t="inlineStr">
        <is>
          <t>प्रणाम</t>
        </is>
      </c>
      <c r="D66" s="19" t="inlineStr">
        <is>
          <t>Pranaam</t>
        </is>
      </c>
      <c r="E66" s="20" t="inlineStr">
        <is>
          <t>Greetings / Salutation</t>
        </is>
      </c>
      <c r="F66" s="17" t="inlineStr">
        <is>
          <t>Greetings &amp; Basics</t>
        </is>
      </c>
      <c r="G66" s="21" t="inlineStr">
        <is>
          <t>Unit 1: Greetings &amp; Basics / Pranaam — Greetings</t>
        </is>
      </c>
      <c r="H66" s="22" t="inlineStr"/>
      <c r="I66" s="22" t="inlineStr"/>
      <c r="J66" s="22" t="inlineStr"/>
      <c r="K66" s="22" t="inlineStr"/>
      <c r="L66" s="22" t="inlineStr"/>
      <c r="M66" s="22" t="inlineStr"/>
      <c r="N66" s="22" t="inlineStr"/>
      <c r="O66" s="23">
        <f>COUNTIF(H66:N66,"&gt;=3")</f>
        <v/>
      </c>
      <c r="P66" s="24">
        <f>IF(COUNT(H66:N66)=0,"",COUNTIF(H66:N66,"&gt;=3")/COUNT(H66:N66))</f>
        <v/>
      </c>
      <c r="Q66" s="25">
        <f>IF(COUNT(H66:N66)=0,"",AVERAGE(H66:N66))</f>
        <v/>
      </c>
      <c r="R66" s="25">
        <f>IF(COUNT(H66:N66)&lt;2,"",STDEV(H66:N66))</f>
        <v/>
      </c>
      <c r="S66" s="26">
        <f>IF(COUNT(H66:N66)=0,"",COMBIN(COUNT(H66:N66),COUNTIF(H66:N66,"&gt;=3"))*0.5^COUNT(H66:N66))</f>
        <v/>
      </c>
      <c r="T66" s="25">
        <f>IFERROR(IF(P66="","",(P66-S66)/(1-S66)),"")</f>
        <v/>
      </c>
      <c r="U66" s="27">
        <f>IF(P66="","Awaiting",IF(P66&gt;=CVI_PASS,"PASS",IF(P66&gt;=CVI_BORDER,"BORDERLINE","FAIL")))</f>
        <v/>
      </c>
    </row>
    <row r="67">
      <c r="A67" s="9" t="inlineStr">
        <is>
          <t>L002</t>
        </is>
      </c>
      <c r="B67" s="17" t="inlineStr">
        <is>
          <t>Lesson Sentence</t>
        </is>
      </c>
      <c r="C67" s="18" t="inlineStr">
        <is>
          <t>कइसे अहा?</t>
        </is>
      </c>
      <c r="D67" s="19" t="inlineStr">
        <is>
          <t>Kaise aha?</t>
        </is>
      </c>
      <c r="E67" s="20" t="inlineStr">
        <is>
          <t>How are you?</t>
        </is>
      </c>
      <c r="F67" s="17" t="inlineStr">
        <is>
          <t>Greetings &amp; Basics</t>
        </is>
      </c>
      <c r="G67" s="21" t="inlineStr">
        <is>
          <t>Unit 1: Greetings &amp; Basics / Pranaam — Greetings</t>
        </is>
      </c>
      <c r="H67" s="22" t="inlineStr"/>
      <c r="I67" s="22" t="inlineStr"/>
      <c r="J67" s="22" t="inlineStr"/>
      <c r="K67" s="22" t="inlineStr"/>
      <c r="L67" s="22" t="inlineStr"/>
      <c r="M67" s="22" t="inlineStr"/>
      <c r="N67" s="22" t="inlineStr"/>
      <c r="O67" s="23">
        <f>COUNTIF(H67:N67,"&gt;=3")</f>
        <v/>
      </c>
      <c r="P67" s="24">
        <f>IF(COUNT(H67:N67)=0,"",COUNTIF(H67:N67,"&gt;=3")/COUNT(H67:N67))</f>
        <v/>
      </c>
      <c r="Q67" s="25">
        <f>IF(COUNT(H67:N67)=0,"",AVERAGE(H67:N67))</f>
        <v/>
      </c>
      <c r="R67" s="25">
        <f>IF(COUNT(H67:N67)&lt;2,"",STDEV(H67:N67))</f>
        <v/>
      </c>
      <c r="S67" s="26">
        <f>IF(COUNT(H67:N67)=0,"",COMBIN(COUNT(H67:N67),COUNTIF(H67:N67,"&gt;=3"))*0.5^COUNT(H67:N67))</f>
        <v/>
      </c>
      <c r="T67" s="25">
        <f>IFERROR(IF(P67="","",(P67-S67)/(1-S67)),"")</f>
        <v/>
      </c>
      <c r="U67" s="27">
        <f>IF(P67="","Awaiting",IF(P67&gt;=CVI_PASS,"PASS",IF(P67&gt;=CVI_BORDER,"BORDERLINE","FAIL")))</f>
        <v/>
      </c>
    </row>
    <row r="68">
      <c r="A68" s="9" t="inlineStr">
        <is>
          <t>L003</t>
        </is>
      </c>
      <c r="B68" s="17" t="inlineStr">
        <is>
          <t>Lesson Sentence</t>
        </is>
      </c>
      <c r="C68" s="18" t="inlineStr">
        <is>
          <t>हम ठीक अही।</t>
        </is>
      </c>
      <c r="D68" s="19" t="inlineStr">
        <is>
          <t>Hum theek ahi.</t>
        </is>
      </c>
      <c r="E68" s="20" t="inlineStr">
        <is>
          <t>I am fine.</t>
        </is>
      </c>
      <c r="F68" s="17" t="inlineStr">
        <is>
          <t>Greetings &amp; Basics</t>
        </is>
      </c>
      <c r="G68" s="21" t="inlineStr">
        <is>
          <t>Unit 1: Greetings &amp; Basics / Pranaam — Greetings</t>
        </is>
      </c>
      <c r="H68" s="22" t="inlineStr"/>
      <c r="I68" s="22" t="inlineStr"/>
      <c r="J68" s="22" t="inlineStr"/>
      <c r="K68" s="22" t="inlineStr"/>
      <c r="L68" s="22" t="inlineStr"/>
      <c r="M68" s="22" t="inlineStr"/>
      <c r="N68" s="22" t="inlineStr"/>
      <c r="O68" s="23">
        <f>COUNTIF(H68:N68,"&gt;=3")</f>
        <v/>
      </c>
      <c r="P68" s="24">
        <f>IF(COUNT(H68:N68)=0,"",COUNTIF(H68:N68,"&gt;=3")/COUNT(H68:N68))</f>
        <v/>
      </c>
      <c r="Q68" s="25">
        <f>IF(COUNT(H68:N68)=0,"",AVERAGE(H68:N68))</f>
        <v/>
      </c>
      <c r="R68" s="25">
        <f>IF(COUNT(H68:N68)&lt;2,"",STDEV(H68:N68))</f>
        <v/>
      </c>
      <c r="S68" s="26">
        <f>IF(COUNT(H68:N68)=0,"",COMBIN(COUNT(H68:N68),COUNTIF(H68:N68,"&gt;=3"))*0.5^COUNT(H68:N68))</f>
        <v/>
      </c>
      <c r="T68" s="25">
        <f>IFERROR(IF(P68="","",(P68-S68)/(1-S68)),"")</f>
        <v/>
      </c>
      <c r="U68" s="27">
        <f>IF(P68="","Awaiting",IF(P68&gt;=CVI_PASS,"PASS",IF(P68&gt;=CVI_BORDER,"BORDERLINE","FAIL")))</f>
        <v/>
      </c>
    </row>
    <row r="69">
      <c r="A69" s="9" t="inlineStr">
        <is>
          <t>L004</t>
        </is>
      </c>
      <c r="B69" s="17" t="inlineStr">
        <is>
          <t>Lesson Sentence</t>
        </is>
      </c>
      <c r="C69" s="18" t="inlineStr">
        <is>
          <t>तोहार नाम का अहय?</t>
        </is>
      </c>
      <c r="D69" s="19" t="inlineStr">
        <is>
          <t>Tohar naam ka ahay?</t>
        </is>
      </c>
      <c r="E69" s="20" t="inlineStr">
        <is>
          <t>What is your name?</t>
        </is>
      </c>
      <c r="F69" s="17" t="inlineStr">
        <is>
          <t>Greetings &amp; Basics</t>
        </is>
      </c>
      <c r="G69" s="21" t="inlineStr">
        <is>
          <t>Unit 1: Greetings &amp; Basics / Pranaam — Greetings</t>
        </is>
      </c>
      <c r="H69" s="22" t="inlineStr"/>
      <c r="I69" s="22" t="inlineStr"/>
      <c r="J69" s="22" t="inlineStr"/>
      <c r="K69" s="22" t="inlineStr"/>
      <c r="L69" s="22" t="inlineStr"/>
      <c r="M69" s="22" t="inlineStr"/>
      <c r="N69" s="22" t="inlineStr"/>
      <c r="O69" s="23">
        <f>COUNTIF(H69:N69,"&gt;=3")</f>
        <v/>
      </c>
      <c r="P69" s="24">
        <f>IF(COUNT(H69:N69)=0,"",COUNTIF(H69:N69,"&gt;=3")/COUNT(H69:N69))</f>
        <v/>
      </c>
      <c r="Q69" s="25">
        <f>IF(COUNT(H69:N69)=0,"",AVERAGE(H69:N69))</f>
        <v/>
      </c>
      <c r="R69" s="25">
        <f>IF(COUNT(H69:N69)&lt;2,"",STDEV(H69:N69))</f>
        <v/>
      </c>
      <c r="S69" s="26">
        <f>IF(COUNT(H69:N69)=0,"",COMBIN(COUNT(H69:N69),COUNTIF(H69:N69,"&gt;=3"))*0.5^COUNT(H69:N69))</f>
        <v/>
      </c>
      <c r="T69" s="25">
        <f>IFERROR(IF(P69="","",(P69-S69)/(1-S69)),"")</f>
        <v/>
      </c>
      <c r="U69" s="27">
        <f>IF(P69="","Awaiting",IF(P69&gt;=CVI_PASS,"PASS",IF(P69&gt;=CVI_BORDER,"BORDERLINE","FAIL")))</f>
        <v/>
      </c>
    </row>
    <row r="70">
      <c r="A70" s="9" t="inlineStr">
        <is>
          <t>L005</t>
        </is>
      </c>
      <c r="B70" s="17" t="inlineStr">
        <is>
          <t>Lesson Sentence</t>
        </is>
      </c>
      <c r="C70" s="18" t="inlineStr">
        <is>
          <t>हम राधा अही।</t>
        </is>
      </c>
      <c r="D70" s="19" t="inlineStr">
        <is>
          <t>Hum Radha ahi.</t>
        </is>
      </c>
      <c r="E70" s="20" t="inlineStr">
        <is>
          <t>I am Radha.</t>
        </is>
      </c>
      <c r="F70" s="17" t="inlineStr">
        <is>
          <t>Greetings &amp; Basics</t>
        </is>
      </c>
      <c r="G70" s="21" t="inlineStr">
        <is>
          <t>Unit 1: Greetings &amp; Basics / Mora Naam — Introductions</t>
        </is>
      </c>
      <c r="H70" s="22" t="inlineStr"/>
      <c r="I70" s="22" t="inlineStr"/>
      <c r="J70" s="22" t="inlineStr"/>
      <c r="K70" s="22" t="inlineStr"/>
      <c r="L70" s="22" t="inlineStr"/>
      <c r="M70" s="22" t="inlineStr"/>
      <c r="N70" s="22" t="inlineStr"/>
      <c r="O70" s="23">
        <f>COUNTIF(H70:N70,"&gt;=3")</f>
        <v/>
      </c>
      <c r="P70" s="24">
        <f>IF(COUNT(H70:N70)=0,"",COUNTIF(H70:N70,"&gt;=3")/COUNT(H70:N70))</f>
        <v/>
      </c>
      <c r="Q70" s="25">
        <f>IF(COUNT(H70:N70)=0,"",AVERAGE(H70:N70))</f>
        <v/>
      </c>
      <c r="R70" s="25">
        <f>IF(COUNT(H70:N70)&lt;2,"",STDEV(H70:N70))</f>
        <v/>
      </c>
      <c r="S70" s="26">
        <f>IF(COUNT(H70:N70)=0,"",COMBIN(COUNT(H70:N70),COUNTIF(H70:N70,"&gt;=3"))*0.5^COUNT(H70:N70))</f>
        <v/>
      </c>
      <c r="T70" s="25">
        <f>IFERROR(IF(P70="","",(P70-S70)/(1-S70)),"")</f>
        <v/>
      </c>
      <c r="U70" s="27">
        <f>IF(P70="","Awaiting",IF(P70&gt;=CVI_PASS,"PASS",IF(P70&gt;=CVI_BORDER,"BORDERLINE","FAIL")))</f>
        <v/>
      </c>
    </row>
    <row r="71">
      <c r="A71" s="9" t="inlineStr">
        <is>
          <t>L006</t>
        </is>
      </c>
      <c r="B71" s="17" t="inlineStr">
        <is>
          <t>Lesson Sentence</t>
        </is>
      </c>
      <c r="C71" s="18" t="inlineStr">
        <is>
          <t>हम हियाँ तुहका देखय आवा रहिन।</t>
        </is>
      </c>
      <c r="D71" s="19" t="inlineStr">
        <is>
          <t>Hum hiyaan tuhka dekhay aava rahin.</t>
        </is>
      </c>
      <c r="E71" s="20" t="inlineStr">
        <is>
          <t>I came here to see you.</t>
        </is>
      </c>
      <c r="F71" s="17" t="inlineStr">
        <is>
          <t>Greetings &amp; Basics</t>
        </is>
      </c>
      <c r="G71" s="21" t="inlineStr">
        <is>
          <t>Unit 1: Greetings &amp; Basics / Mora Naam — Introductions</t>
        </is>
      </c>
      <c r="H71" s="22" t="inlineStr"/>
      <c r="I71" s="22" t="inlineStr"/>
      <c r="J71" s="22" t="inlineStr"/>
      <c r="K71" s="22" t="inlineStr"/>
      <c r="L71" s="22" t="inlineStr"/>
      <c r="M71" s="22" t="inlineStr"/>
      <c r="N71" s="22" t="inlineStr"/>
      <c r="O71" s="23">
        <f>COUNTIF(H71:N71,"&gt;=3")</f>
        <v/>
      </c>
      <c r="P71" s="24">
        <f>IF(COUNT(H71:N71)=0,"",COUNTIF(H71:N71,"&gt;=3")/COUNT(H71:N71))</f>
        <v/>
      </c>
      <c r="Q71" s="25">
        <f>IF(COUNT(H71:N71)=0,"",AVERAGE(H71:N71))</f>
        <v/>
      </c>
      <c r="R71" s="25">
        <f>IF(COUNT(H71:N71)&lt;2,"",STDEV(H71:N71))</f>
        <v/>
      </c>
      <c r="S71" s="26">
        <f>IF(COUNT(H71:N71)=0,"",COMBIN(COUNT(H71:N71),COUNTIF(H71:N71,"&gt;=3"))*0.5^COUNT(H71:N71))</f>
        <v/>
      </c>
      <c r="T71" s="25">
        <f>IFERROR(IF(P71="","",(P71-S71)/(1-S71)),"")</f>
        <v/>
      </c>
      <c r="U71" s="27">
        <f>IF(P71="","Awaiting",IF(P71&gt;=CVI_PASS,"PASS",IF(P71&gt;=CVI_BORDER,"BORDERLINE","FAIL")))</f>
        <v/>
      </c>
    </row>
    <row r="72">
      <c r="A72" s="9" t="inlineStr">
        <is>
          <t>L007</t>
        </is>
      </c>
      <c r="B72" s="17" t="inlineStr">
        <is>
          <t>Lesson Sentence</t>
        </is>
      </c>
      <c r="C72" s="18" t="inlineStr">
        <is>
          <t>कृपया जा।</t>
        </is>
      </c>
      <c r="D72" s="19" t="inlineStr">
        <is>
          <t>Kripaya ja.</t>
        </is>
      </c>
      <c r="E72" s="20" t="inlineStr">
        <is>
          <t>Please go.</t>
        </is>
      </c>
      <c r="F72" s="17" t="inlineStr">
        <is>
          <t>Greetings &amp; Basics</t>
        </is>
      </c>
      <c r="G72" s="21" t="inlineStr">
        <is>
          <t>Unit 1: Greetings &amp; Basics / Mora Naam — Introductions</t>
        </is>
      </c>
      <c r="H72" s="22" t="inlineStr"/>
      <c r="I72" s="22" t="inlineStr"/>
      <c r="J72" s="22" t="inlineStr"/>
      <c r="K72" s="22" t="inlineStr"/>
      <c r="L72" s="22" t="inlineStr"/>
      <c r="M72" s="22" t="inlineStr"/>
      <c r="N72" s="22" t="inlineStr"/>
      <c r="O72" s="23">
        <f>COUNTIF(H72:N72,"&gt;=3")</f>
        <v/>
      </c>
      <c r="P72" s="24">
        <f>IF(COUNT(H72:N72)=0,"",COUNTIF(H72:N72,"&gt;=3")/COUNT(H72:N72))</f>
        <v/>
      </c>
      <c r="Q72" s="25">
        <f>IF(COUNT(H72:N72)=0,"",AVERAGE(H72:N72))</f>
        <v/>
      </c>
      <c r="R72" s="25">
        <f>IF(COUNT(H72:N72)&lt;2,"",STDEV(H72:N72))</f>
        <v/>
      </c>
      <c r="S72" s="26">
        <f>IF(COUNT(H72:N72)=0,"",COMBIN(COUNT(H72:N72),COUNTIF(H72:N72,"&gt;=3"))*0.5^COUNT(H72:N72))</f>
        <v/>
      </c>
      <c r="T72" s="25">
        <f>IFERROR(IF(P72="","",(P72-S72)/(1-S72)),"")</f>
        <v/>
      </c>
      <c r="U72" s="27">
        <f>IF(P72="","Awaiting",IF(P72&gt;=CVI_PASS,"PASS",IF(P72&gt;=CVI_BORDER,"BORDERLINE","FAIL")))</f>
        <v/>
      </c>
    </row>
    <row r="73">
      <c r="A73" s="9" t="inlineStr">
        <is>
          <t>L008</t>
        </is>
      </c>
      <c r="B73" s="17" t="inlineStr">
        <is>
          <t>Lesson Sentence</t>
        </is>
      </c>
      <c r="C73" s="18" t="inlineStr">
        <is>
          <t>चला जा।</t>
        </is>
      </c>
      <c r="D73" s="19" t="inlineStr">
        <is>
          <t>Chala ja.</t>
        </is>
      </c>
      <c r="E73" s="20" t="inlineStr">
        <is>
          <t>Let's go.</t>
        </is>
      </c>
      <c r="F73" s="17" t="inlineStr">
        <is>
          <t>Greetings &amp; Basics</t>
        </is>
      </c>
      <c r="G73" s="21" t="inlineStr">
        <is>
          <t>Unit 1: Greetings &amp; Basics / Mora Naam — Introductions</t>
        </is>
      </c>
      <c r="H73" s="22" t="inlineStr"/>
      <c r="I73" s="22" t="inlineStr"/>
      <c r="J73" s="22" t="inlineStr"/>
      <c r="K73" s="22" t="inlineStr"/>
      <c r="L73" s="22" t="inlineStr"/>
      <c r="M73" s="22" t="inlineStr"/>
      <c r="N73" s="22" t="inlineStr"/>
      <c r="O73" s="23">
        <f>COUNTIF(H73:N73,"&gt;=3")</f>
        <v/>
      </c>
      <c r="P73" s="24">
        <f>IF(COUNT(H73:N73)=0,"",COUNTIF(H73:N73,"&gt;=3")/COUNT(H73:N73))</f>
        <v/>
      </c>
      <c r="Q73" s="25">
        <f>IF(COUNT(H73:N73)=0,"",AVERAGE(H73:N73))</f>
        <v/>
      </c>
      <c r="R73" s="25">
        <f>IF(COUNT(H73:N73)&lt;2,"",STDEV(H73:N73))</f>
        <v/>
      </c>
      <c r="S73" s="26">
        <f>IF(COUNT(H73:N73)=0,"",COMBIN(COUNT(H73:N73),COUNTIF(H73:N73,"&gt;=3"))*0.5^COUNT(H73:N73))</f>
        <v/>
      </c>
      <c r="T73" s="25">
        <f>IFERROR(IF(P73="","",(P73-S73)/(1-S73)),"")</f>
        <v/>
      </c>
      <c r="U73" s="27">
        <f>IF(P73="","Awaiting",IF(P73&gt;=CVI_PASS,"PASS",IF(P73&gt;=CVI_BORDER,"BORDERLINE","FAIL")))</f>
        <v/>
      </c>
    </row>
    <row r="74">
      <c r="A74" s="9" t="inlineStr">
        <is>
          <t>L009</t>
        </is>
      </c>
      <c r="B74" s="17" t="inlineStr">
        <is>
          <t>Lesson Sentence</t>
        </is>
      </c>
      <c r="C74" s="18" t="inlineStr">
        <is>
          <t>हाँ</t>
        </is>
      </c>
      <c r="D74" s="19" t="inlineStr">
        <is>
          <t>Haan</t>
        </is>
      </c>
      <c r="E74" s="20" t="inlineStr">
        <is>
          <t>Yes</t>
        </is>
      </c>
      <c r="F74" s="17" t="inlineStr">
        <is>
          <t>Greetings &amp; Basics</t>
        </is>
      </c>
      <c r="G74" s="21" t="inlineStr">
        <is>
          <t>Unit 1: Greetings &amp; Basics / Basic Expressions</t>
        </is>
      </c>
      <c r="H74" s="22" t="inlineStr"/>
      <c r="I74" s="22" t="inlineStr"/>
      <c r="J74" s="22" t="inlineStr"/>
      <c r="K74" s="22" t="inlineStr"/>
      <c r="L74" s="22" t="inlineStr"/>
      <c r="M74" s="22" t="inlineStr"/>
      <c r="N74" s="22" t="inlineStr"/>
      <c r="O74" s="23">
        <f>COUNTIF(H74:N74,"&gt;=3")</f>
        <v/>
      </c>
      <c r="P74" s="24">
        <f>IF(COUNT(H74:N74)=0,"",COUNTIF(H74:N74,"&gt;=3")/COUNT(H74:N74))</f>
        <v/>
      </c>
      <c r="Q74" s="25">
        <f>IF(COUNT(H74:N74)=0,"",AVERAGE(H74:N74))</f>
        <v/>
      </c>
      <c r="R74" s="25">
        <f>IF(COUNT(H74:N74)&lt;2,"",STDEV(H74:N74))</f>
        <v/>
      </c>
      <c r="S74" s="26">
        <f>IF(COUNT(H74:N74)=0,"",COMBIN(COUNT(H74:N74),COUNTIF(H74:N74,"&gt;=3"))*0.5^COUNT(H74:N74))</f>
        <v/>
      </c>
      <c r="T74" s="25">
        <f>IFERROR(IF(P74="","",(P74-S74)/(1-S74)),"")</f>
        <v/>
      </c>
      <c r="U74" s="27">
        <f>IF(P74="","Awaiting",IF(P74&gt;=CVI_PASS,"PASS",IF(P74&gt;=CVI_BORDER,"BORDERLINE","FAIL")))</f>
        <v/>
      </c>
    </row>
    <row r="75">
      <c r="A75" s="9" t="inlineStr">
        <is>
          <t>L010</t>
        </is>
      </c>
      <c r="B75" s="17" t="inlineStr">
        <is>
          <t>Lesson Sentence</t>
        </is>
      </c>
      <c r="C75" s="18" t="inlineStr">
        <is>
          <t>नाहीं</t>
        </is>
      </c>
      <c r="D75" s="19" t="inlineStr">
        <is>
          <t>Naahin</t>
        </is>
      </c>
      <c r="E75" s="20" t="inlineStr">
        <is>
          <t>No</t>
        </is>
      </c>
      <c r="F75" s="17" t="inlineStr">
        <is>
          <t>Greetings &amp; Basics</t>
        </is>
      </c>
      <c r="G75" s="21" t="inlineStr">
        <is>
          <t>Unit 1: Greetings &amp; Basics / Basic Expressions</t>
        </is>
      </c>
      <c r="H75" s="22" t="inlineStr"/>
      <c r="I75" s="22" t="inlineStr"/>
      <c r="J75" s="22" t="inlineStr"/>
      <c r="K75" s="22" t="inlineStr"/>
      <c r="L75" s="22" t="inlineStr"/>
      <c r="M75" s="22" t="inlineStr"/>
      <c r="N75" s="22" t="inlineStr"/>
      <c r="O75" s="23">
        <f>COUNTIF(H75:N75,"&gt;=3")</f>
        <v/>
      </c>
      <c r="P75" s="24">
        <f>IF(COUNT(H75:N75)=0,"",COUNTIF(H75:N75,"&gt;=3")/COUNT(H75:N75))</f>
        <v/>
      </c>
      <c r="Q75" s="25">
        <f>IF(COUNT(H75:N75)=0,"",AVERAGE(H75:N75))</f>
        <v/>
      </c>
      <c r="R75" s="25">
        <f>IF(COUNT(H75:N75)&lt;2,"",STDEV(H75:N75))</f>
        <v/>
      </c>
      <c r="S75" s="26">
        <f>IF(COUNT(H75:N75)=0,"",COMBIN(COUNT(H75:N75),COUNTIF(H75:N75,"&gt;=3"))*0.5^COUNT(H75:N75))</f>
        <v/>
      </c>
      <c r="T75" s="25">
        <f>IFERROR(IF(P75="","",(P75-S75)/(1-S75)),"")</f>
        <v/>
      </c>
      <c r="U75" s="27">
        <f>IF(P75="","Awaiting",IF(P75&gt;=CVI_PASS,"PASS",IF(P75&gt;=CVI_BORDER,"BORDERLINE","FAIL")))</f>
        <v/>
      </c>
    </row>
    <row r="76">
      <c r="A76" s="9" t="inlineStr">
        <is>
          <t>L011</t>
        </is>
      </c>
      <c r="B76" s="17" t="inlineStr">
        <is>
          <t>Lesson Sentence</t>
        </is>
      </c>
      <c r="C76" s="18" t="inlineStr">
        <is>
          <t>धन्यवाद</t>
        </is>
      </c>
      <c r="D76" s="19" t="inlineStr">
        <is>
          <t>Dhanyavaad</t>
        </is>
      </c>
      <c r="E76" s="20" t="inlineStr">
        <is>
          <t>Thank you</t>
        </is>
      </c>
      <c r="F76" s="17" t="inlineStr">
        <is>
          <t>Greetings &amp; Basics</t>
        </is>
      </c>
      <c r="G76" s="21" t="inlineStr">
        <is>
          <t>Unit 1: Greetings &amp; Basics / Basic Expressions</t>
        </is>
      </c>
      <c r="H76" s="22" t="inlineStr"/>
      <c r="I76" s="22" t="inlineStr"/>
      <c r="J76" s="22" t="inlineStr"/>
      <c r="K76" s="22" t="inlineStr"/>
      <c r="L76" s="22" t="inlineStr"/>
      <c r="M76" s="22" t="inlineStr"/>
      <c r="N76" s="22" t="inlineStr"/>
      <c r="O76" s="23">
        <f>COUNTIF(H76:N76,"&gt;=3")</f>
        <v/>
      </c>
      <c r="P76" s="24">
        <f>IF(COUNT(H76:N76)=0,"",COUNTIF(H76:N76,"&gt;=3")/COUNT(H76:N76))</f>
        <v/>
      </c>
      <c r="Q76" s="25">
        <f>IF(COUNT(H76:N76)=0,"",AVERAGE(H76:N76))</f>
        <v/>
      </c>
      <c r="R76" s="25">
        <f>IF(COUNT(H76:N76)&lt;2,"",STDEV(H76:N76))</f>
        <v/>
      </c>
      <c r="S76" s="26">
        <f>IF(COUNT(H76:N76)=0,"",COMBIN(COUNT(H76:N76),COUNTIF(H76:N76,"&gt;=3"))*0.5^COUNT(H76:N76))</f>
        <v/>
      </c>
      <c r="T76" s="25">
        <f>IFERROR(IF(P76="","",(P76-S76)/(1-S76)),"")</f>
        <v/>
      </c>
      <c r="U76" s="27">
        <f>IF(P76="","Awaiting",IF(P76&gt;=CVI_PASS,"PASS",IF(P76&gt;=CVI_BORDER,"BORDERLINE","FAIL")))</f>
        <v/>
      </c>
    </row>
    <row r="77">
      <c r="A77" s="9" t="inlineStr">
        <is>
          <t>L012</t>
        </is>
      </c>
      <c r="B77" s="17" t="inlineStr">
        <is>
          <t>Lesson Sentence</t>
        </is>
      </c>
      <c r="C77" s="18" t="inlineStr">
        <is>
          <t>वे हमका आशीर्वाद देहें।</t>
        </is>
      </c>
      <c r="D77" s="19" t="inlineStr">
        <is>
          <t>Ve humka aashirvaad dehen.</t>
        </is>
      </c>
      <c r="E77" s="20" t="inlineStr">
        <is>
          <t>They blessed me.</t>
        </is>
      </c>
      <c r="F77" s="17" t="inlineStr">
        <is>
          <t>Greetings &amp; Basics</t>
        </is>
      </c>
      <c r="G77" s="21" t="inlineStr">
        <is>
          <t>Unit 1: Greetings &amp; Basics / Basic Expressions</t>
        </is>
      </c>
      <c r="H77" s="22" t="inlineStr"/>
      <c r="I77" s="22" t="inlineStr"/>
      <c r="J77" s="22" t="inlineStr"/>
      <c r="K77" s="22" t="inlineStr"/>
      <c r="L77" s="22" t="inlineStr"/>
      <c r="M77" s="22" t="inlineStr"/>
      <c r="N77" s="22" t="inlineStr"/>
      <c r="O77" s="23">
        <f>COUNTIF(H77:N77,"&gt;=3")</f>
        <v/>
      </c>
      <c r="P77" s="24">
        <f>IF(COUNT(H77:N77)=0,"",COUNTIF(H77:N77,"&gt;=3")/COUNT(H77:N77))</f>
        <v/>
      </c>
      <c r="Q77" s="25">
        <f>IF(COUNT(H77:N77)=0,"",AVERAGE(H77:N77))</f>
        <v/>
      </c>
      <c r="R77" s="25">
        <f>IF(COUNT(H77:N77)&lt;2,"",STDEV(H77:N77))</f>
        <v/>
      </c>
      <c r="S77" s="26">
        <f>IF(COUNT(H77:N77)=0,"",COMBIN(COUNT(H77:N77),COUNTIF(H77:N77,"&gt;=3"))*0.5^COUNT(H77:N77))</f>
        <v/>
      </c>
      <c r="T77" s="25">
        <f>IFERROR(IF(P77="","",(P77-S77)/(1-S77)),"")</f>
        <v/>
      </c>
      <c r="U77" s="27">
        <f>IF(P77="","Awaiting",IF(P77&gt;=CVI_PASS,"PASS",IF(P77&gt;=CVI_BORDER,"BORDERLINE","FAIL")))</f>
        <v/>
      </c>
    </row>
    <row r="78">
      <c r="A78" s="9" t="inlineStr">
        <is>
          <t>L013</t>
        </is>
      </c>
      <c r="B78" s="17" t="inlineStr">
        <is>
          <t>Lesson Sentence</t>
        </is>
      </c>
      <c r="C78" s="18" t="inlineStr">
        <is>
          <t>हम जाबय जब अम्मा आय जइहैं।</t>
        </is>
      </c>
      <c r="D78" s="19" t="inlineStr">
        <is>
          <t>Hum jaabay jab amma aay jaihain.</t>
        </is>
      </c>
      <c r="E78" s="20" t="inlineStr">
        <is>
          <t>I will go when mother comes.</t>
        </is>
      </c>
      <c r="F78" s="17" t="inlineStr">
        <is>
          <t>Family &amp; Relations</t>
        </is>
      </c>
      <c r="G78" s="21" t="inlineStr">
        <is>
          <t>Unit 2: Family &amp; Relations / Mai-Baap — Parents</t>
        </is>
      </c>
      <c r="H78" s="22" t="inlineStr"/>
      <c r="I78" s="22" t="inlineStr"/>
      <c r="J78" s="22" t="inlineStr"/>
      <c r="K78" s="22" t="inlineStr"/>
      <c r="L78" s="22" t="inlineStr"/>
      <c r="M78" s="22" t="inlineStr"/>
      <c r="N78" s="22" t="inlineStr"/>
      <c r="O78" s="23">
        <f>COUNTIF(H78:N78,"&gt;=3")</f>
        <v/>
      </c>
      <c r="P78" s="24">
        <f>IF(COUNT(H78:N78)=0,"",COUNTIF(H78:N78,"&gt;=3")/COUNT(H78:N78))</f>
        <v/>
      </c>
      <c r="Q78" s="25">
        <f>IF(COUNT(H78:N78)=0,"",AVERAGE(H78:N78))</f>
        <v/>
      </c>
      <c r="R78" s="25">
        <f>IF(COUNT(H78:N78)&lt;2,"",STDEV(H78:N78))</f>
        <v/>
      </c>
      <c r="S78" s="26">
        <f>IF(COUNT(H78:N78)=0,"",COMBIN(COUNT(H78:N78),COUNTIF(H78:N78,"&gt;=3"))*0.5^COUNT(H78:N78))</f>
        <v/>
      </c>
      <c r="T78" s="25">
        <f>IFERROR(IF(P78="","",(P78-S78)/(1-S78)),"")</f>
        <v/>
      </c>
      <c r="U78" s="27">
        <f>IF(P78="","Awaiting",IF(P78&gt;=CVI_PASS,"PASS",IF(P78&gt;=CVI_BORDER,"BORDERLINE","FAIL")))</f>
        <v/>
      </c>
    </row>
    <row r="79">
      <c r="A79" s="9" t="inlineStr">
        <is>
          <t>L014</t>
        </is>
      </c>
      <c r="B79" s="17" t="inlineStr">
        <is>
          <t>Lesson Sentence</t>
        </is>
      </c>
      <c r="C79" s="18" t="inlineStr">
        <is>
          <t>लरिका कय नामकरन वोहकय महतारी-बाप ,मामा-मौसी ,आदि लोग करा थी ।</t>
        </is>
      </c>
      <c r="D79" s="19" t="inlineStr">
        <is>
          <t>Larika kay naamkaran vohakai mahtari-baap, mama-mausi, aadi log kara thi.</t>
        </is>
      </c>
      <c r="E79" s="20" t="inlineStr">
        <is>
          <t>The child's naming was done by his mother, father, maternal uncle and aunt.</t>
        </is>
      </c>
      <c r="F79" s="17" t="inlineStr">
        <is>
          <t>Family &amp; Relations</t>
        </is>
      </c>
      <c r="G79" s="21" t="inlineStr">
        <is>
          <t>Unit 2: Family &amp; Relations / Mai-Baap — Parents</t>
        </is>
      </c>
      <c r="H79" s="22" t="inlineStr"/>
      <c r="I79" s="22" t="inlineStr"/>
      <c r="J79" s="22" t="inlineStr"/>
      <c r="K79" s="22" t="inlineStr"/>
      <c r="L79" s="22" t="inlineStr"/>
      <c r="M79" s="22" t="inlineStr"/>
      <c r="N79" s="22" t="inlineStr"/>
      <c r="O79" s="23">
        <f>COUNTIF(H79:N79,"&gt;=3")</f>
        <v/>
      </c>
      <c r="P79" s="24">
        <f>IF(COUNT(H79:N79)=0,"",COUNTIF(H79:N79,"&gt;=3")/COUNT(H79:N79))</f>
        <v/>
      </c>
      <c r="Q79" s="25">
        <f>IF(COUNT(H79:N79)=0,"",AVERAGE(H79:N79))</f>
        <v/>
      </c>
      <c r="R79" s="25">
        <f>IF(COUNT(H79:N79)&lt;2,"",STDEV(H79:N79))</f>
        <v/>
      </c>
      <c r="S79" s="26">
        <f>IF(COUNT(H79:N79)=0,"",COMBIN(COUNT(H79:N79),COUNTIF(H79:N79,"&gt;=3"))*0.5^COUNT(H79:N79))</f>
        <v/>
      </c>
      <c r="T79" s="25">
        <f>IFERROR(IF(P79="","",(P79-S79)/(1-S79)),"")</f>
        <v/>
      </c>
      <c r="U79" s="27">
        <f>IF(P79="","Awaiting",IF(P79&gt;=CVI_PASS,"PASS",IF(P79&gt;=CVI_BORDER,"BORDERLINE","FAIL")))</f>
        <v/>
      </c>
    </row>
    <row r="80">
      <c r="A80" s="9" t="inlineStr">
        <is>
          <t>L015</t>
        </is>
      </c>
      <c r="B80" s="17" t="inlineStr">
        <is>
          <t>Lesson Sentence</t>
        </is>
      </c>
      <c r="C80" s="18" t="inlineStr">
        <is>
          <t>बिआह के रसम कय व्यवस्था अउर खर्चा लडकी के माँ-बाप उठावा थीं ।</t>
        </is>
      </c>
      <c r="D80" s="19" t="inlineStr">
        <is>
          <t>Biaah ke rasm kay vyavastha aur kharcha ladki ke maa-baap uthaava thin.</t>
        </is>
      </c>
      <c r="E80" s="20" t="inlineStr">
        <is>
          <t>The arrangements and expenses of the wedding were borne by the bride's parents.</t>
        </is>
      </c>
      <c r="F80" s="17" t="inlineStr">
        <is>
          <t>Family &amp; Relations</t>
        </is>
      </c>
      <c r="G80" s="21" t="inlineStr">
        <is>
          <t>Unit 2: Family &amp; Relations / Mai-Baap — Parents</t>
        </is>
      </c>
      <c r="H80" s="22" t="inlineStr"/>
      <c r="I80" s="22" t="inlineStr"/>
      <c r="J80" s="22" t="inlineStr"/>
      <c r="K80" s="22" t="inlineStr"/>
      <c r="L80" s="22" t="inlineStr"/>
      <c r="M80" s="22" t="inlineStr"/>
      <c r="N80" s="22" t="inlineStr"/>
      <c r="O80" s="23">
        <f>COUNTIF(H80:N80,"&gt;=3")</f>
        <v/>
      </c>
      <c r="P80" s="24">
        <f>IF(COUNT(H80:N80)=0,"",COUNTIF(H80:N80,"&gt;=3")/COUNT(H80:N80))</f>
        <v/>
      </c>
      <c r="Q80" s="25">
        <f>IF(COUNT(H80:N80)=0,"",AVERAGE(H80:N80))</f>
        <v/>
      </c>
      <c r="R80" s="25">
        <f>IF(COUNT(H80:N80)&lt;2,"",STDEV(H80:N80))</f>
        <v/>
      </c>
      <c r="S80" s="26">
        <f>IF(COUNT(H80:N80)=0,"",COMBIN(COUNT(H80:N80),COUNTIF(H80:N80,"&gt;=3"))*0.5^COUNT(H80:N80))</f>
        <v/>
      </c>
      <c r="T80" s="25">
        <f>IFERROR(IF(P80="","",(P80-S80)/(1-S80)),"")</f>
        <v/>
      </c>
      <c r="U80" s="27">
        <f>IF(P80="","Awaiting",IF(P80&gt;=CVI_PASS,"PASS",IF(P80&gt;=CVI_BORDER,"BORDERLINE","FAIL")))</f>
        <v/>
      </c>
    </row>
    <row r="81">
      <c r="A81" s="9" t="inlineStr">
        <is>
          <t>L016</t>
        </is>
      </c>
      <c r="B81" s="17" t="inlineStr">
        <is>
          <t>Lesson Sentence</t>
        </is>
      </c>
      <c r="C81" s="18" t="inlineStr">
        <is>
          <t>हम अउर हमाय भाय साथ मा खेलब।</t>
        </is>
      </c>
      <c r="D81" s="19" t="inlineStr">
        <is>
          <t>Hum aur humay bhaay saath ma khelab.</t>
        </is>
      </c>
      <c r="E81" s="20" t="inlineStr">
        <is>
          <t>I and my brother will play together.</t>
        </is>
      </c>
      <c r="F81" s="17" t="inlineStr">
        <is>
          <t>Family &amp; Relations</t>
        </is>
      </c>
      <c r="G81" s="21" t="inlineStr">
        <is>
          <t>Unit 2: Family &amp; Relations / Bhai-Bahin — Siblings</t>
        </is>
      </c>
      <c r="H81" s="22" t="inlineStr"/>
      <c r="I81" s="22" t="inlineStr"/>
      <c r="J81" s="22" t="inlineStr"/>
      <c r="K81" s="22" t="inlineStr"/>
      <c r="L81" s="22" t="inlineStr"/>
      <c r="M81" s="22" t="inlineStr"/>
      <c r="N81" s="22" t="inlineStr"/>
      <c r="O81" s="23">
        <f>COUNTIF(H81:N81,"&gt;=3")</f>
        <v/>
      </c>
      <c r="P81" s="24">
        <f>IF(COUNT(H81:N81)=0,"",COUNTIF(H81:N81,"&gt;=3")/COUNT(H81:N81))</f>
        <v/>
      </c>
      <c r="Q81" s="25">
        <f>IF(COUNT(H81:N81)=0,"",AVERAGE(H81:N81))</f>
        <v/>
      </c>
      <c r="R81" s="25">
        <f>IF(COUNT(H81:N81)&lt;2,"",STDEV(H81:N81))</f>
        <v/>
      </c>
      <c r="S81" s="26">
        <f>IF(COUNT(H81:N81)=0,"",COMBIN(COUNT(H81:N81),COUNTIF(H81:N81,"&gt;=3"))*0.5^COUNT(H81:N81))</f>
        <v/>
      </c>
      <c r="T81" s="25">
        <f>IFERROR(IF(P81="","",(P81-S81)/(1-S81)),"")</f>
        <v/>
      </c>
      <c r="U81" s="27">
        <f>IF(P81="","Awaiting",IF(P81&gt;=CVI_PASS,"PASS",IF(P81&gt;=CVI_BORDER,"BORDERLINE","FAIL")))</f>
        <v/>
      </c>
    </row>
    <row r="82">
      <c r="A82" s="9" t="inlineStr">
        <is>
          <t>L017</t>
        </is>
      </c>
      <c r="B82" s="17" t="inlineStr">
        <is>
          <t>Lesson Sentence</t>
        </is>
      </c>
      <c r="C82" s="18" t="inlineStr">
        <is>
          <t>हमरे दोस्त कय बहिन बिमार बाटय।</t>
        </is>
      </c>
      <c r="D82" s="19" t="inlineStr">
        <is>
          <t>Hamare dost kay bahin bimaar baatay.</t>
        </is>
      </c>
      <c r="E82" s="20" t="inlineStr">
        <is>
          <t>My friend's sister is sick.</t>
        </is>
      </c>
      <c r="F82" s="17" t="inlineStr">
        <is>
          <t>Family &amp; Relations</t>
        </is>
      </c>
      <c r="G82" s="21" t="inlineStr">
        <is>
          <t>Unit 2: Family &amp; Relations / Bhai-Bahin — Siblings</t>
        </is>
      </c>
      <c r="H82" s="22" t="inlineStr"/>
      <c r="I82" s="22" t="inlineStr"/>
      <c r="J82" s="22" t="inlineStr"/>
      <c r="K82" s="22" t="inlineStr"/>
      <c r="L82" s="22" t="inlineStr"/>
      <c r="M82" s="22" t="inlineStr"/>
      <c r="N82" s="22" t="inlineStr"/>
      <c r="O82" s="23">
        <f>COUNTIF(H82:N82,"&gt;=3")</f>
        <v/>
      </c>
      <c r="P82" s="24">
        <f>IF(COUNT(H82:N82)=0,"",COUNTIF(H82:N82,"&gt;=3")/COUNT(H82:N82))</f>
        <v/>
      </c>
      <c r="Q82" s="25">
        <f>IF(COUNT(H82:N82)=0,"",AVERAGE(H82:N82))</f>
        <v/>
      </c>
      <c r="R82" s="25">
        <f>IF(COUNT(H82:N82)&lt;2,"",STDEV(H82:N82))</f>
        <v/>
      </c>
      <c r="S82" s="26">
        <f>IF(COUNT(H82:N82)=0,"",COMBIN(COUNT(H82:N82),COUNTIF(H82:N82,"&gt;=3"))*0.5^COUNT(H82:N82))</f>
        <v/>
      </c>
      <c r="T82" s="25">
        <f>IFERROR(IF(P82="","",(P82-S82)/(1-S82)),"")</f>
        <v/>
      </c>
      <c r="U82" s="27">
        <f>IF(P82="","Awaiting",IF(P82&gt;=CVI_PASS,"PASS",IF(P82&gt;=CVI_BORDER,"BORDERLINE","FAIL")))</f>
        <v/>
      </c>
    </row>
    <row r="83">
      <c r="A83" s="9" t="inlineStr">
        <is>
          <t>L018</t>
        </is>
      </c>
      <c r="B83" s="17" t="inlineStr">
        <is>
          <t>Lesson Sentence</t>
        </is>
      </c>
      <c r="C83" s="18" t="inlineStr">
        <is>
          <t>हमार बहिन भी हमार विश्वास नही किहिस।</t>
        </is>
      </c>
      <c r="D83" s="19" t="inlineStr">
        <is>
          <t>Hamaar bahin bhi hamaar vishvaas nahi kihis.</t>
        </is>
      </c>
      <c r="E83" s="20" t="inlineStr">
        <is>
          <t>Even my sister did not trust me.</t>
        </is>
      </c>
      <c r="F83" s="17" t="inlineStr">
        <is>
          <t>Family &amp; Relations</t>
        </is>
      </c>
      <c r="G83" s="21" t="inlineStr">
        <is>
          <t>Unit 2: Family &amp; Relations / Bhai-Bahin — Siblings</t>
        </is>
      </c>
      <c r="H83" s="22" t="inlineStr"/>
      <c r="I83" s="22" t="inlineStr"/>
      <c r="J83" s="22" t="inlineStr"/>
      <c r="K83" s="22" t="inlineStr"/>
      <c r="L83" s="22" t="inlineStr"/>
      <c r="M83" s="22" t="inlineStr"/>
      <c r="N83" s="22" t="inlineStr"/>
      <c r="O83" s="23">
        <f>COUNTIF(H83:N83,"&gt;=3")</f>
        <v/>
      </c>
      <c r="P83" s="24">
        <f>IF(COUNT(H83:N83)=0,"",COUNTIF(H83:N83,"&gt;=3")/COUNT(H83:N83))</f>
        <v/>
      </c>
      <c r="Q83" s="25">
        <f>IF(COUNT(H83:N83)=0,"",AVERAGE(H83:N83))</f>
        <v/>
      </c>
      <c r="R83" s="25">
        <f>IF(COUNT(H83:N83)&lt;2,"",STDEV(H83:N83))</f>
        <v/>
      </c>
      <c r="S83" s="26">
        <f>IF(COUNT(H83:N83)=0,"",COMBIN(COUNT(H83:N83),COUNTIF(H83:N83,"&gt;=3"))*0.5^COUNT(H83:N83))</f>
        <v/>
      </c>
      <c r="T83" s="25">
        <f>IFERROR(IF(P83="","",(P83-S83)/(1-S83)),"")</f>
        <v/>
      </c>
      <c r="U83" s="27">
        <f>IF(P83="","Awaiting",IF(P83&gt;=CVI_PASS,"PASS",IF(P83&gt;=CVI_BORDER,"BORDERLINE","FAIL")))</f>
        <v/>
      </c>
    </row>
    <row r="84">
      <c r="A84" s="9" t="inlineStr">
        <is>
          <t>L019</t>
        </is>
      </c>
      <c r="B84" s="17" t="inlineStr">
        <is>
          <t>Lesson Sentence</t>
        </is>
      </c>
      <c r="C84" s="18" t="inlineStr">
        <is>
          <t>नामकरन के रसम मा मामा,नाना-नानी ,बुआ-फ़ुफ़ा,चाची मौसी ,दादी ,नानी सब लॊग नामकरन के रसम मा जा थीं आवा थी ।</t>
        </is>
      </c>
      <c r="D84" s="19" t="inlineStr">
        <is>
          <t>Naamkaran ke rasm ma mama, nana-naani, bua-fufa, chaachi, mausi, daadi, naani sab log aava thin.</t>
        </is>
      </c>
      <c r="E84" s="20" t="inlineStr">
        <is>
          <t>For the naming ceremony, the maternal uncle, grandparents, aunts, and grandmother all came.</t>
        </is>
      </c>
      <c r="F84" s="17" t="inlineStr">
        <is>
          <t>Family &amp; Relations</t>
        </is>
      </c>
      <c r="G84" s="21" t="inlineStr">
        <is>
          <t>Unit 2: Family &amp; Relations / Kaka-Kaki — Extended Family</t>
        </is>
      </c>
      <c r="H84" s="22" t="inlineStr"/>
      <c r="I84" s="22" t="inlineStr"/>
      <c r="J84" s="22" t="inlineStr"/>
      <c r="K84" s="22" t="inlineStr"/>
      <c r="L84" s="22" t="inlineStr"/>
      <c r="M84" s="22" t="inlineStr"/>
      <c r="N84" s="22" t="inlineStr"/>
      <c r="O84" s="23">
        <f>COUNTIF(H84:N84,"&gt;=3")</f>
        <v/>
      </c>
      <c r="P84" s="24">
        <f>IF(COUNT(H84:N84)=0,"",COUNTIF(H84:N84,"&gt;=3")/COUNT(H84:N84))</f>
        <v/>
      </c>
      <c r="Q84" s="25">
        <f>IF(COUNT(H84:N84)=0,"",AVERAGE(H84:N84))</f>
        <v/>
      </c>
      <c r="R84" s="25">
        <f>IF(COUNT(H84:N84)&lt;2,"",STDEV(H84:N84))</f>
        <v/>
      </c>
      <c r="S84" s="26">
        <f>IF(COUNT(H84:N84)=0,"",COMBIN(COUNT(H84:N84),COUNTIF(H84:N84,"&gt;=3"))*0.5^COUNT(H84:N84))</f>
        <v/>
      </c>
      <c r="T84" s="25">
        <f>IFERROR(IF(P84="","",(P84-S84)/(1-S84)),"")</f>
        <v/>
      </c>
      <c r="U84" s="27">
        <f>IF(P84="","Awaiting",IF(P84&gt;=CVI_PASS,"PASS",IF(P84&gt;=CVI_BORDER,"BORDERLINE","FAIL")))</f>
        <v/>
      </c>
    </row>
    <row r="85">
      <c r="A85" s="9" t="inlineStr">
        <is>
          <t>L020</t>
        </is>
      </c>
      <c r="B85" s="17" t="inlineStr">
        <is>
          <t>Lesson Sentence</t>
        </is>
      </c>
      <c r="C85" s="18" t="inlineStr">
        <is>
          <t>बिआह के रसम मा घर के रिश्तेदार गाँव वाले बुआ ,काका ,फ़ुफ़ा,मामा,मौसी आदि लोग न्योता जा थीं ।</t>
        </is>
      </c>
      <c r="D85" s="19" t="inlineStr">
        <is>
          <t>Biaah ke rasm ma ghar ke rishtedar, gaav vale bua, kaaka, fufa, mama, mausi aadi log nyota ja thin.</t>
        </is>
      </c>
      <c r="E85" s="20" t="inlineStr">
        <is>
          <t>Family members, villagers, aunts, uncles were all invited to the wedding.</t>
        </is>
      </c>
      <c r="F85" s="17" t="inlineStr">
        <is>
          <t>Family &amp; Relations</t>
        </is>
      </c>
      <c r="G85" s="21" t="inlineStr">
        <is>
          <t>Unit 2: Family &amp; Relations / Kaka-Kaki — Extended Family</t>
        </is>
      </c>
      <c r="H85" s="22" t="inlineStr"/>
      <c r="I85" s="22" t="inlineStr"/>
      <c r="J85" s="22" t="inlineStr"/>
      <c r="K85" s="22" t="inlineStr"/>
      <c r="L85" s="22" t="inlineStr"/>
      <c r="M85" s="22" t="inlineStr"/>
      <c r="N85" s="22" t="inlineStr"/>
      <c r="O85" s="23">
        <f>COUNTIF(H85:N85,"&gt;=3")</f>
        <v/>
      </c>
      <c r="P85" s="24">
        <f>IF(COUNT(H85:N85)=0,"",COUNTIF(H85:N85,"&gt;=3")/COUNT(H85:N85))</f>
        <v/>
      </c>
      <c r="Q85" s="25">
        <f>IF(COUNT(H85:N85)=0,"",AVERAGE(H85:N85))</f>
        <v/>
      </c>
      <c r="R85" s="25">
        <f>IF(COUNT(H85:N85)&lt;2,"",STDEV(H85:N85))</f>
        <v/>
      </c>
      <c r="S85" s="26">
        <f>IF(COUNT(H85:N85)=0,"",COMBIN(COUNT(H85:N85),COUNTIF(H85:N85,"&gt;=3"))*0.5^COUNT(H85:N85))</f>
        <v/>
      </c>
      <c r="T85" s="25">
        <f>IFERROR(IF(P85="","",(P85-S85)/(1-S85)),"")</f>
        <v/>
      </c>
      <c r="U85" s="27">
        <f>IF(P85="","Awaiting",IF(P85&gt;=CVI_PASS,"PASS",IF(P85&gt;=CVI_BORDER,"BORDERLINE","FAIL")))</f>
        <v/>
      </c>
    </row>
    <row r="86">
      <c r="A86" s="9" t="inlineStr">
        <is>
          <t>L021</t>
        </is>
      </c>
      <c r="B86" s="17" t="inlineStr">
        <is>
          <t>Lesson Sentence</t>
        </is>
      </c>
      <c r="C86" s="18" t="inlineStr">
        <is>
          <t>वे रोज स्कूल जा थें।</t>
        </is>
      </c>
      <c r="D86" s="19" t="inlineStr">
        <is>
          <t>Ve roz skool ja then.</t>
        </is>
      </c>
      <c r="E86" s="20" t="inlineStr">
        <is>
          <t>They used to go to school daily.</t>
        </is>
      </c>
      <c r="F86" s="17" t="inlineStr">
        <is>
          <t>Daily Life Sentences</t>
        </is>
      </c>
      <c r="G86" s="21" t="inlineStr">
        <is>
          <t>Unit 3: Daily Life Sentences / Going Places</t>
        </is>
      </c>
      <c r="H86" s="22" t="inlineStr"/>
      <c r="I86" s="22" t="inlineStr"/>
      <c r="J86" s="22" t="inlineStr"/>
      <c r="K86" s="22" t="inlineStr"/>
      <c r="L86" s="22" t="inlineStr"/>
      <c r="M86" s="22" t="inlineStr"/>
      <c r="N86" s="22" t="inlineStr"/>
      <c r="O86" s="23">
        <f>COUNTIF(H86:N86,"&gt;=3")</f>
        <v/>
      </c>
      <c r="P86" s="24">
        <f>IF(COUNT(H86:N86)=0,"",COUNTIF(H86:N86,"&gt;=3")/COUNT(H86:N86))</f>
        <v/>
      </c>
      <c r="Q86" s="25">
        <f>IF(COUNT(H86:N86)=0,"",AVERAGE(H86:N86))</f>
        <v/>
      </c>
      <c r="R86" s="25">
        <f>IF(COUNT(H86:N86)&lt;2,"",STDEV(H86:N86))</f>
        <v/>
      </c>
      <c r="S86" s="26">
        <f>IF(COUNT(H86:N86)=0,"",COMBIN(COUNT(H86:N86),COUNTIF(H86:N86,"&gt;=3"))*0.5^COUNT(H86:N86))</f>
        <v/>
      </c>
      <c r="T86" s="25">
        <f>IFERROR(IF(P86="","",(P86-S86)/(1-S86)),"")</f>
        <v/>
      </c>
      <c r="U86" s="27">
        <f>IF(P86="","Awaiting",IF(P86&gt;=CVI_PASS,"PASS",IF(P86&gt;=CVI_BORDER,"BORDERLINE","FAIL")))</f>
        <v/>
      </c>
    </row>
    <row r="87">
      <c r="A87" s="9" t="inlineStr">
        <is>
          <t>L022</t>
        </is>
      </c>
      <c r="B87" s="17" t="inlineStr">
        <is>
          <t>Lesson Sentence</t>
        </is>
      </c>
      <c r="C87" s="18" t="inlineStr">
        <is>
          <t>राधा रमेश के साथे शहर गयी।</t>
        </is>
      </c>
      <c r="D87" s="19" t="inlineStr">
        <is>
          <t>Radha Ramesh ke saathe sheher gayi.</t>
        </is>
      </c>
      <c r="E87" s="20" t="inlineStr">
        <is>
          <t>Radha went to the city with Ramesh.</t>
        </is>
      </c>
      <c r="F87" s="17" t="inlineStr">
        <is>
          <t>Daily Life Sentences</t>
        </is>
      </c>
      <c r="G87" s="21" t="inlineStr">
        <is>
          <t>Unit 3: Daily Life Sentences / Going Places</t>
        </is>
      </c>
      <c r="H87" s="22" t="inlineStr"/>
      <c r="I87" s="22" t="inlineStr"/>
      <c r="J87" s="22" t="inlineStr"/>
      <c r="K87" s="22" t="inlineStr"/>
      <c r="L87" s="22" t="inlineStr"/>
      <c r="M87" s="22" t="inlineStr"/>
      <c r="N87" s="22" t="inlineStr"/>
      <c r="O87" s="23">
        <f>COUNTIF(H87:N87,"&gt;=3")</f>
        <v/>
      </c>
      <c r="P87" s="24">
        <f>IF(COUNT(H87:N87)=0,"",COUNTIF(H87:N87,"&gt;=3")/COUNT(H87:N87))</f>
        <v/>
      </c>
      <c r="Q87" s="25">
        <f>IF(COUNT(H87:N87)=0,"",AVERAGE(H87:N87))</f>
        <v/>
      </c>
      <c r="R87" s="25">
        <f>IF(COUNT(H87:N87)&lt;2,"",STDEV(H87:N87))</f>
        <v/>
      </c>
      <c r="S87" s="26">
        <f>IF(COUNT(H87:N87)=0,"",COMBIN(COUNT(H87:N87),COUNTIF(H87:N87,"&gt;=3"))*0.5^COUNT(H87:N87))</f>
        <v/>
      </c>
      <c r="T87" s="25">
        <f>IFERROR(IF(P87="","",(P87-S87)/(1-S87)),"")</f>
        <v/>
      </c>
      <c r="U87" s="27">
        <f>IF(P87="","Awaiting",IF(P87&gt;=CVI_PASS,"PASS",IF(P87&gt;=CVI_BORDER,"BORDERLINE","FAIL")))</f>
        <v/>
      </c>
    </row>
    <row r="88">
      <c r="A88" s="9" t="inlineStr">
        <is>
          <t>L023</t>
        </is>
      </c>
      <c r="B88" s="17" t="inlineStr">
        <is>
          <t>Lesson Sentence</t>
        </is>
      </c>
      <c r="C88" s="18" t="inlineStr">
        <is>
          <t>खराब मौसम की वजह से हम सब गाँव नही जाय पाइन।</t>
        </is>
      </c>
      <c r="D88" s="19" t="inlineStr">
        <is>
          <t>Kharaab mausam ki vajah se hum sab gaav nahi jaay paain.</t>
        </is>
      </c>
      <c r="E88" s="20" t="inlineStr">
        <is>
          <t>Due to bad weather we all could not go to the village.</t>
        </is>
      </c>
      <c r="F88" s="17" t="inlineStr">
        <is>
          <t>Daily Life Sentences</t>
        </is>
      </c>
      <c r="G88" s="21" t="inlineStr">
        <is>
          <t>Unit 3: Daily Life Sentences / Going Places</t>
        </is>
      </c>
      <c r="H88" s="22" t="inlineStr"/>
      <c r="I88" s="22" t="inlineStr"/>
      <c r="J88" s="22" t="inlineStr"/>
      <c r="K88" s="22" t="inlineStr"/>
      <c r="L88" s="22" t="inlineStr"/>
      <c r="M88" s="22" t="inlineStr"/>
      <c r="N88" s="22" t="inlineStr"/>
      <c r="O88" s="23">
        <f>COUNTIF(H88:N88,"&gt;=3")</f>
        <v/>
      </c>
      <c r="P88" s="24">
        <f>IF(COUNT(H88:N88)=0,"",COUNTIF(H88:N88,"&gt;=3")/COUNT(H88:N88))</f>
        <v/>
      </c>
      <c r="Q88" s="25">
        <f>IF(COUNT(H88:N88)=0,"",AVERAGE(H88:N88))</f>
        <v/>
      </c>
      <c r="R88" s="25">
        <f>IF(COUNT(H88:N88)&lt;2,"",STDEV(H88:N88))</f>
        <v/>
      </c>
      <c r="S88" s="26">
        <f>IF(COUNT(H88:N88)=0,"",COMBIN(COUNT(H88:N88),COUNTIF(H88:N88,"&gt;=3"))*0.5^COUNT(H88:N88))</f>
        <v/>
      </c>
      <c r="T88" s="25">
        <f>IFERROR(IF(P88="","",(P88-S88)/(1-S88)),"")</f>
        <v/>
      </c>
      <c r="U88" s="27">
        <f>IF(P88="","Awaiting",IF(P88&gt;=CVI_PASS,"PASS",IF(P88&gt;=CVI_BORDER,"BORDERLINE","FAIL")))</f>
        <v/>
      </c>
    </row>
    <row r="89">
      <c r="A89" s="9" t="inlineStr">
        <is>
          <t>L024</t>
        </is>
      </c>
      <c r="B89" s="17" t="inlineStr">
        <is>
          <t>Lesson Sentence</t>
        </is>
      </c>
      <c r="C89" s="18" t="inlineStr">
        <is>
          <t>राजू घर छोड देहें।</t>
        </is>
      </c>
      <c r="D89" s="19" t="inlineStr">
        <is>
          <t>Raju ghar chhod dehen.</t>
        </is>
      </c>
      <c r="E89" s="20" t="inlineStr">
        <is>
          <t>Raju left home.</t>
        </is>
      </c>
      <c r="F89" s="17" t="inlineStr">
        <is>
          <t>Daily Life Sentences</t>
        </is>
      </c>
      <c r="G89" s="21" t="inlineStr">
        <is>
          <t>Unit 3: Daily Life Sentences / Going Places</t>
        </is>
      </c>
      <c r="H89" s="22" t="inlineStr"/>
      <c r="I89" s="22" t="inlineStr"/>
      <c r="J89" s="22" t="inlineStr"/>
      <c r="K89" s="22" t="inlineStr"/>
      <c r="L89" s="22" t="inlineStr"/>
      <c r="M89" s="22" t="inlineStr"/>
      <c r="N89" s="22" t="inlineStr"/>
      <c r="O89" s="23">
        <f>COUNTIF(H89:N89,"&gt;=3")</f>
        <v/>
      </c>
      <c r="P89" s="24">
        <f>IF(COUNT(H89:N89)=0,"",COUNTIF(H89:N89,"&gt;=3")/COUNT(H89:N89))</f>
        <v/>
      </c>
      <c r="Q89" s="25">
        <f>IF(COUNT(H89:N89)=0,"",AVERAGE(H89:N89))</f>
        <v/>
      </c>
      <c r="R89" s="25">
        <f>IF(COUNT(H89:N89)&lt;2,"",STDEV(H89:N89))</f>
        <v/>
      </c>
      <c r="S89" s="26">
        <f>IF(COUNT(H89:N89)=0,"",COMBIN(COUNT(H89:N89),COUNTIF(H89:N89,"&gt;=3"))*0.5^COUNT(H89:N89))</f>
        <v/>
      </c>
      <c r="T89" s="25">
        <f>IFERROR(IF(P89="","",(P89-S89)/(1-S89)),"")</f>
        <v/>
      </c>
      <c r="U89" s="27">
        <f>IF(P89="","Awaiting",IF(P89&gt;=CVI_PASS,"PASS",IF(P89&gt;=CVI_BORDER,"BORDERLINE","FAIL")))</f>
        <v/>
      </c>
    </row>
    <row r="90">
      <c r="A90" s="9" t="inlineStr">
        <is>
          <t>L025</t>
        </is>
      </c>
      <c r="B90" s="17" t="inlineStr">
        <is>
          <t>Lesson Sentence</t>
        </is>
      </c>
      <c r="C90" s="18" t="inlineStr">
        <is>
          <t>वे कपडा धोवत रही।</t>
        </is>
      </c>
      <c r="D90" s="19" t="inlineStr">
        <is>
          <t>Ve kapda dhovat rahi.</t>
        </is>
      </c>
      <c r="E90" s="20" t="inlineStr">
        <is>
          <t>She was washing clothes.</t>
        </is>
      </c>
      <c r="F90" s="17" t="inlineStr">
        <is>
          <t>Daily Life Sentences</t>
        </is>
      </c>
      <c r="G90" s="21" t="inlineStr">
        <is>
          <t>Unit 3: Daily Life Sentences / Everyday Actions</t>
        </is>
      </c>
      <c r="H90" s="22" t="inlineStr"/>
      <c r="I90" s="22" t="inlineStr"/>
      <c r="J90" s="22" t="inlineStr"/>
      <c r="K90" s="22" t="inlineStr"/>
      <c r="L90" s="22" t="inlineStr"/>
      <c r="M90" s="22" t="inlineStr"/>
      <c r="N90" s="22" t="inlineStr"/>
      <c r="O90" s="23">
        <f>COUNTIF(H90:N90,"&gt;=3")</f>
        <v/>
      </c>
      <c r="P90" s="24">
        <f>IF(COUNT(H90:N90)=0,"",COUNTIF(H90:N90,"&gt;=3")/COUNT(H90:N90))</f>
        <v/>
      </c>
      <c r="Q90" s="25">
        <f>IF(COUNT(H90:N90)=0,"",AVERAGE(H90:N90))</f>
        <v/>
      </c>
      <c r="R90" s="25">
        <f>IF(COUNT(H90:N90)&lt;2,"",STDEV(H90:N90))</f>
        <v/>
      </c>
      <c r="S90" s="26">
        <f>IF(COUNT(H90:N90)=0,"",COMBIN(COUNT(H90:N90),COUNTIF(H90:N90,"&gt;=3"))*0.5^COUNT(H90:N90))</f>
        <v/>
      </c>
      <c r="T90" s="25">
        <f>IFERROR(IF(P90="","",(P90-S90)/(1-S90)),"")</f>
        <v/>
      </c>
      <c r="U90" s="27">
        <f>IF(P90="","Awaiting",IF(P90&gt;=CVI_PASS,"PASS",IF(P90&gt;=CVI_BORDER,"BORDERLINE","FAIL")))</f>
        <v/>
      </c>
    </row>
    <row r="91">
      <c r="A91" s="9" t="inlineStr">
        <is>
          <t>L026</t>
        </is>
      </c>
      <c r="B91" s="17" t="inlineStr">
        <is>
          <t>Lesson Sentence</t>
        </is>
      </c>
      <c r="C91" s="18" t="inlineStr">
        <is>
          <t>खाये के बाद सोया।</t>
        </is>
      </c>
      <c r="D91" s="19" t="inlineStr">
        <is>
          <t>Khaaye ke baad soya.</t>
        </is>
      </c>
      <c r="E91" s="20" t="inlineStr">
        <is>
          <t>He slept after eating.</t>
        </is>
      </c>
      <c r="F91" s="17" t="inlineStr">
        <is>
          <t>Daily Life Sentences</t>
        </is>
      </c>
      <c r="G91" s="21" t="inlineStr">
        <is>
          <t>Unit 3: Daily Life Sentences / Everyday Actions</t>
        </is>
      </c>
      <c r="H91" s="22" t="inlineStr"/>
      <c r="I91" s="22" t="inlineStr"/>
      <c r="J91" s="22" t="inlineStr"/>
      <c r="K91" s="22" t="inlineStr"/>
      <c r="L91" s="22" t="inlineStr"/>
      <c r="M91" s="22" t="inlineStr"/>
      <c r="N91" s="22" t="inlineStr"/>
      <c r="O91" s="23">
        <f>COUNTIF(H91:N91,"&gt;=3")</f>
        <v/>
      </c>
      <c r="P91" s="24">
        <f>IF(COUNT(H91:N91)=0,"",COUNTIF(H91:N91,"&gt;=3")/COUNT(H91:N91))</f>
        <v/>
      </c>
      <c r="Q91" s="25">
        <f>IF(COUNT(H91:N91)=0,"",AVERAGE(H91:N91))</f>
        <v/>
      </c>
      <c r="R91" s="25">
        <f>IF(COUNT(H91:N91)&lt;2,"",STDEV(H91:N91))</f>
        <v/>
      </c>
      <c r="S91" s="26">
        <f>IF(COUNT(H91:N91)=0,"",COMBIN(COUNT(H91:N91),COUNTIF(H91:N91,"&gt;=3"))*0.5^COUNT(H91:N91))</f>
        <v/>
      </c>
      <c r="T91" s="25">
        <f>IFERROR(IF(P91="","",(P91-S91)/(1-S91)),"")</f>
        <v/>
      </c>
      <c r="U91" s="27">
        <f>IF(P91="","Awaiting",IF(P91&gt;=CVI_PASS,"PASS",IF(P91&gt;=CVI_BORDER,"BORDERLINE","FAIL")))</f>
        <v/>
      </c>
    </row>
    <row r="92">
      <c r="A92" s="9" t="inlineStr">
        <is>
          <t>L027</t>
        </is>
      </c>
      <c r="B92" s="17" t="inlineStr">
        <is>
          <t>Lesson Sentence</t>
        </is>
      </c>
      <c r="C92" s="18" t="inlineStr">
        <is>
          <t>हम लडके से झाडू से कमरा साफ़ करवाइन।</t>
        </is>
      </c>
      <c r="D92" s="19" t="inlineStr">
        <is>
          <t>Hum ladke se jhaadu se kamra saaf karvaain.</t>
        </is>
      </c>
      <c r="E92" s="20" t="inlineStr">
        <is>
          <t>I got the room cleaned by the boy with a broom.</t>
        </is>
      </c>
      <c r="F92" s="17" t="inlineStr">
        <is>
          <t>Daily Life Sentences</t>
        </is>
      </c>
      <c r="G92" s="21" t="inlineStr">
        <is>
          <t>Unit 3: Daily Life Sentences / Everyday Actions</t>
        </is>
      </c>
      <c r="H92" s="22" t="inlineStr"/>
      <c r="I92" s="22" t="inlineStr"/>
      <c r="J92" s="22" t="inlineStr"/>
      <c r="K92" s="22" t="inlineStr"/>
      <c r="L92" s="22" t="inlineStr"/>
      <c r="M92" s="22" t="inlineStr"/>
      <c r="N92" s="22" t="inlineStr"/>
      <c r="O92" s="23">
        <f>COUNTIF(H92:N92,"&gt;=3")</f>
        <v/>
      </c>
      <c r="P92" s="24">
        <f>IF(COUNT(H92:N92)=0,"",COUNTIF(H92:N92,"&gt;=3")/COUNT(H92:N92))</f>
        <v/>
      </c>
      <c r="Q92" s="25">
        <f>IF(COUNT(H92:N92)=0,"",AVERAGE(H92:N92))</f>
        <v/>
      </c>
      <c r="R92" s="25">
        <f>IF(COUNT(H92:N92)&lt;2,"",STDEV(H92:N92))</f>
        <v/>
      </c>
      <c r="S92" s="26">
        <f>IF(COUNT(H92:N92)=0,"",COMBIN(COUNT(H92:N92),COUNTIF(H92:N92,"&gt;=3"))*0.5^COUNT(H92:N92))</f>
        <v/>
      </c>
      <c r="T92" s="25">
        <f>IFERROR(IF(P92="","",(P92-S92)/(1-S92)),"")</f>
        <v/>
      </c>
      <c r="U92" s="27">
        <f>IF(P92="","Awaiting",IF(P92&gt;=CVI_PASS,"PASS",IF(P92&gt;=CVI_BORDER,"BORDERLINE","FAIL")))</f>
        <v/>
      </c>
    </row>
    <row r="93">
      <c r="A93" s="9" t="inlineStr">
        <is>
          <t>L028</t>
        </is>
      </c>
      <c r="B93" s="17" t="inlineStr">
        <is>
          <t>Lesson Sentence</t>
        </is>
      </c>
      <c r="C93" s="18" t="inlineStr">
        <is>
          <t>वे सोवत्त बाटें।</t>
        </is>
      </c>
      <c r="D93" s="19" t="inlineStr">
        <is>
          <t>Ve sovatt baaten.</t>
        </is>
      </c>
      <c r="E93" s="20" t="inlineStr">
        <is>
          <t>They are sleeping.</t>
        </is>
      </c>
      <c r="F93" s="17" t="inlineStr">
        <is>
          <t>Daily Life Sentences</t>
        </is>
      </c>
      <c r="G93" s="21" t="inlineStr">
        <is>
          <t>Unit 3: Daily Life Sentences / Everyday Actions</t>
        </is>
      </c>
      <c r="H93" s="22" t="inlineStr"/>
      <c r="I93" s="22" t="inlineStr"/>
      <c r="J93" s="22" t="inlineStr"/>
      <c r="K93" s="22" t="inlineStr"/>
      <c r="L93" s="22" t="inlineStr"/>
      <c r="M93" s="22" t="inlineStr"/>
      <c r="N93" s="22" t="inlineStr"/>
      <c r="O93" s="23">
        <f>COUNTIF(H93:N93,"&gt;=3")</f>
        <v/>
      </c>
      <c r="P93" s="24">
        <f>IF(COUNT(H93:N93)=0,"",COUNTIF(H93:N93,"&gt;=3")/COUNT(H93:N93))</f>
        <v/>
      </c>
      <c r="Q93" s="25">
        <f>IF(COUNT(H93:N93)=0,"",AVERAGE(H93:N93))</f>
        <v/>
      </c>
      <c r="R93" s="25">
        <f>IF(COUNT(H93:N93)&lt;2,"",STDEV(H93:N93))</f>
        <v/>
      </c>
      <c r="S93" s="26">
        <f>IF(COUNT(H93:N93)=0,"",COMBIN(COUNT(H93:N93),COUNTIF(H93:N93,"&gt;=3"))*0.5^COUNT(H93:N93))</f>
        <v/>
      </c>
      <c r="T93" s="25">
        <f>IFERROR(IF(P93="","",(P93-S93)/(1-S93)),"")</f>
        <v/>
      </c>
      <c r="U93" s="27">
        <f>IF(P93="","Awaiting",IF(P93&gt;=CVI_PASS,"PASS",IF(P93&gt;=CVI_BORDER,"BORDERLINE","FAIL")))</f>
        <v/>
      </c>
    </row>
    <row r="94">
      <c r="A94" s="9" t="inlineStr">
        <is>
          <t>L029</t>
        </is>
      </c>
      <c r="B94" s="17" t="inlineStr">
        <is>
          <t>Lesson Sentence</t>
        </is>
      </c>
      <c r="C94" s="18" t="inlineStr">
        <is>
          <t>हम कल स्कूले ना अउबय।</t>
        </is>
      </c>
      <c r="D94" s="19" t="inlineStr">
        <is>
          <t>Hum kal skoole na aubay.</t>
        </is>
      </c>
      <c r="E94" s="20" t="inlineStr">
        <is>
          <t>I will not come to school tomorrow.</t>
        </is>
      </c>
      <c r="F94" s="17" t="inlineStr">
        <is>
          <t>Daily Life Sentences</t>
        </is>
      </c>
      <c r="G94" s="21" t="inlineStr">
        <is>
          <t>Unit 3: Daily Life Sentences / Talking About Time</t>
        </is>
      </c>
      <c r="H94" s="22" t="inlineStr"/>
      <c r="I94" s="22" t="inlineStr"/>
      <c r="J94" s="22" t="inlineStr"/>
      <c r="K94" s="22" t="inlineStr"/>
      <c r="L94" s="22" t="inlineStr"/>
      <c r="M94" s="22" t="inlineStr"/>
      <c r="N94" s="22" t="inlineStr"/>
      <c r="O94" s="23">
        <f>COUNTIF(H94:N94,"&gt;=3")</f>
        <v/>
      </c>
      <c r="P94" s="24">
        <f>IF(COUNT(H94:N94)=0,"",COUNTIF(H94:N94,"&gt;=3")/COUNT(H94:N94))</f>
        <v/>
      </c>
      <c r="Q94" s="25">
        <f>IF(COUNT(H94:N94)=0,"",AVERAGE(H94:N94))</f>
        <v/>
      </c>
      <c r="R94" s="25">
        <f>IF(COUNT(H94:N94)&lt;2,"",STDEV(H94:N94))</f>
        <v/>
      </c>
      <c r="S94" s="26">
        <f>IF(COUNT(H94:N94)=0,"",COMBIN(COUNT(H94:N94),COUNTIF(H94:N94,"&gt;=3"))*0.5^COUNT(H94:N94))</f>
        <v/>
      </c>
      <c r="T94" s="25">
        <f>IFERROR(IF(P94="","",(P94-S94)/(1-S94)),"")</f>
        <v/>
      </c>
      <c r="U94" s="27">
        <f>IF(P94="","Awaiting",IF(P94&gt;=CVI_PASS,"PASS",IF(P94&gt;=CVI_BORDER,"BORDERLINE","FAIL")))</f>
        <v/>
      </c>
    </row>
    <row r="95">
      <c r="A95" s="9" t="inlineStr">
        <is>
          <t>L030</t>
        </is>
      </c>
      <c r="B95" s="17" t="inlineStr">
        <is>
          <t>Lesson Sentence</t>
        </is>
      </c>
      <c r="C95" s="18" t="inlineStr">
        <is>
          <t>वे हर दिन फ़ुटबाल खेला थें।</t>
        </is>
      </c>
      <c r="D95" s="19" t="inlineStr">
        <is>
          <t>Ve har din football khela then.</t>
        </is>
      </c>
      <c r="E95" s="20" t="inlineStr">
        <is>
          <t>They used to play football every day.</t>
        </is>
      </c>
      <c r="F95" s="17" t="inlineStr">
        <is>
          <t>Daily Life Sentences</t>
        </is>
      </c>
      <c r="G95" s="21" t="inlineStr">
        <is>
          <t>Unit 3: Daily Life Sentences / Talking About Time</t>
        </is>
      </c>
      <c r="H95" s="22" t="inlineStr"/>
      <c r="I95" s="22" t="inlineStr"/>
      <c r="J95" s="22" t="inlineStr"/>
      <c r="K95" s="22" t="inlineStr"/>
      <c r="L95" s="22" t="inlineStr"/>
      <c r="M95" s="22" t="inlineStr"/>
      <c r="N95" s="22" t="inlineStr"/>
      <c r="O95" s="23">
        <f>COUNTIF(H95:N95,"&gt;=3")</f>
        <v/>
      </c>
      <c r="P95" s="24">
        <f>IF(COUNT(H95:N95)=0,"",COUNTIF(H95:N95,"&gt;=3")/COUNT(H95:N95))</f>
        <v/>
      </c>
      <c r="Q95" s="25">
        <f>IF(COUNT(H95:N95)=0,"",AVERAGE(H95:N95))</f>
        <v/>
      </c>
      <c r="R95" s="25">
        <f>IF(COUNT(H95:N95)&lt;2,"",STDEV(H95:N95))</f>
        <v/>
      </c>
      <c r="S95" s="26">
        <f>IF(COUNT(H95:N95)=0,"",COMBIN(COUNT(H95:N95),COUNTIF(H95:N95,"&gt;=3"))*0.5^COUNT(H95:N95))</f>
        <v/>
      </c>
      <c r="T95" s="25">
        <f>IFERROR(IF(P95="","",(P95-S95)/(1-S95)),"")</f>
        <v/>
      </c>
      <c r="U95" s="27">
        <f>IF(P95="","Awaiting",IF(P95&gt;=CVI_PASS,"PASS",IF(P95&gt;=CVI_BORDER,"BORDERLINE","FAIL")))</f>
        <v/>
      </c>
    </row>
    <row r="96">
      <c r="A96" s="9" t="inlineStr">
        <is>
          <t>L031</t>
        </is>
      </c>
      <c r="B96" s="17" t="inlineStr">
        <is>
          <t>Lesson Sentence</t>
        </is>
      </c>
      <c r="C96" s="18" t="inlineStr">
        <is>
          <t>वे कल कुछु भी नही खाये रहें।</t>
        </is>
      </c>
      <c r="D96" s="19" t="inlineStr">
        <is>
          <t>Ve kal kucchu bhi nahi khaaye rahen.</t>
        </is>
      </c>
      <c r="E96" s="20" t="inlineStr">
        <is>
          <t>They did not eat anything yesterday.</t>
        </is>
      </c>
      <c r="F96" s="17" t="inlineStr">
        <is>
          <t>Daily Life Sentences</t>
        </is>
      </c>
      <c r="G96" s="21" t="inlineStr">
        <is>
          <t>Unit 3: Daily Life Sentences / Talking About Time</t>
        </is>
      </c>
      <c r="H96" s="22" t="inlineStr"/>
      <c r="I96" s="22" t="inlineStr"/>
      <c r="J96" s="22" t="inlineStr"/>
      <c r="K96" s="22" t="inlineStr"/>
      <c r="L96" s="22" t="inlineStr"/>
      <c r="M96" s="22" t="inlineStr"/>
      <c r="N96" s="22" t="inlineStr"/>
      <c r="O96" s="23">
        <f>COUNTIF(H96:N96,"&gt;=3")</f>
        <v/>
      </c>
      <c r="P96" s="24">
        <f>IF(COUNT(H96:N96)=0,"",COUNTIF(H96:N96,"&gt;=3")/COUNT(H96:N96))</f>
        <v/>
      </c>
      <c r="Q96" s="25">
        <f>IF(COUNT(H96:N96)=0,"",AVERAGE(H96:N96))</f>
        <v/>
      </c>
      <c r="R96" s="25">
        <f>IF(COUNT(H96:N96)&lt;2,"",STDEV(H96:N96))</f>
        <v/>
      </c>
      <c r="S96" s="26">
        <f>IF(COUNT(H96:N96)=0,"",COMBIN(COUNT(H96:N96),COUNTIF(H96:N96,"&gt;=3"))*0.5^COUNT(H96:N96))</f>
        <v/>
      </c>
      <c r="T96" s="25">
        <f>IFERROR(IF(P96="","",(P96-S96)/(1-S96)),"")</f>
        <v/>
      </c>
      <c r="U96" s="27">
        <f>IF(P96="","Awaiting",IF(P96&gt;=CVI_PASS,"PASS",IF(P96&gt;=CVI_BORDER,"BORDERLINE","FAIL")))</f>
        <v/>
      </c>
    </row>
    <row r="97">
      <c r="A97" s="9" t="inlineStr">
        <is>
          <t>L032</t>
        </is>
      </c>
      <c r="B97" s="17" t="inlineStr">
        <is>
          <t>Lesson Sentence</t>
        </is>
      </c>
      <c r="C97" s="18" t="inlineStr">
        <is>
          <t>वे अब मैदान जात अहय।</t>
        </is>
      </c>
      <c r="D97" s="19" t="inlineStr">
        <is>
          <t>Ve ab maidan jaat ahay.</t>
        </is>
      </c>
      <c r="E97" s="20" t="inlineStr">
        <is>
          <t>They are going to the field now.</t>
        </is>
      </c>
      <c r="F97" s="17" t="inlineStr">
        <is>
          <t>Daily Life Sentences</t>
        </is>
      </c>
      <c r="G97" s="21" t="inlineStr">
        <is>
          <t>Unit 3: Daily Life Sentences / Talking About Time</t>
        </is>
      </c>
      <c r="H97" s="22" t="inlineStr"/>
      <c r="I97" s="22" t="inlineStr"/>
      <c r="J97" s="22" t="inlineStr"/>
      <c r="K97" s="22" t="inlineStr"/>
      <c r="L97" s="22" t="inlineStr"/>
      <c r="M97" s="22" t="inlineStr"/>
      <c r="N97" s="22" t="inlineStr"/>
      <c r="O97" s="23">
        <f>COUNTIF(H97:N97,"&gt;=3")</f>
        <v/>
      </c>
      <c r="P97" s="24">
        <f>IF(COUNT(H97:N97)=0,"",COUNTIF(H97:N97,"&gt;=3")/COUNT(H97:N97))</f>
        <v/>
      </c>
      <c r="Q97" s="25">
        <f>IF(COUNT(H97:N97)=0,"",AVERAGE(H97:N97))</f>
        <v/>
      </c>
      <c r="R97" s="25">
        <f>IF(COUNT(H97:N97)&lt;2,"",STDEV(H97:N97))</f>
        <v/>
      </c>
      <c r="S97" s="26">
        <f>IF(COUNT(H97:N97)=0,"",COMBIN(COUNT(H97:N97),COUNTIF(H97:N97,"&gt;=3"))*0.5^COUNT(H97:N97))</f>
        <v/>
      </c>
      <c r="T97" s="25">
        <f>IFERROR(IF(P97="","",(P97-S97)/(1-S97)),"")</f>
        <v/>
      </c>
      <c r="U97" s="27">
        <f>IF(P97="","Awaiting",IF(P97&gt;=CVI_PASS,"PASS",IF(P97&gt;=CVI_BORDER,"BORDERLINE","FAIL")))</f>
        <v/>
      </c>
    </row>
    <row r="98">
      <c r="A98" s="9" t="inlineStr">
        <is>
          <t>L033</t>
        </is>
      </c>
      <c r="B98" s="17" t="inlineStr">
        <is>
          <t>Lesson Sentence</t>
        </is>
      </c>
      <c r="C98" s="18" t="inlineStr">
        <is>
          <t>हम सिर्फ़ भात खाई थे।</t>
        </is>
      </c>
      <c r="D98" s="19" t="inlineStr">
        <is>
          <t>Hum sirf bhaat khaai the.</t>
        </is>
      </c>
      <c r="E98" s="20" t="inlineStr">
        <is>
          <t>I only ate rice.</t>
        </is>
      </c>
      <c r="F98" s="17" t="inlineStr">
        <is>
          <t>Food &amp; Kitchen</t>
        </is>
      </c>
      <c r="G98" s="21" t="inlineStr">
        <is>
          <t>Unit 4: Food &amp; Kitchen / Rasoi — The Kitchen</t>
        </is>
      </c>
      <c r="H98" s="22" t="inlineStr"/>
      <c r="I98" s="22" t="inlineStr"/>
      <c r="J98" s="22" t="inlineStr"/>
      <c r="K98" s="22" t="inlineStr"/>
      <c r="L98" s="22" t="inlineStr"/>
      <c r="M98" s="22" t="inlineStr"/>
      <c r="N98" s="22" t="inlineStr"/>
      <c r="O98" s="23">
        <f>COUNTIF(H98:N98,"&gt;=3")</f>
        <v/>
      </c>
      <c r="P98" s="24">
        <f>IF(COUNT(H98:N98)=0,"",COUNTIF(H98:N98,"&gt;=3")/COUNT(H98:N98))</f>
        <v/>
      </c>
      <c r="Q98" s="25">
        <f>IF(COUNT(H98:N98)=0,"",AVERAGE(H98:N98))</f>
        <v/>
      </c>
      <c r="R98" s="25">
        <f>IF(COUNT(H98:N98)&lt;2,"",STDEV(H98:N98))</f>
        <v/>
      </c>
      <c r="S98" s="26">
        <f>IF(COUNT(H98:N98)=0,"",COMBIN(COUNT(H98:N98),COUNTIF(H98:N98,"&gt;=3"))*0.5^COUNT(H98:N98))</f>
        <v/>
      </c>
      <c r="T98" s="25">
        <f>IFERROR(IF(P98="","",(P98-S98)/(1-S98)),"")</f>
        <v/>
      </c>
      <c r="U98" s="27">
        <f>IF(P98="","Awaiting",IF(P98&gt;=CVI_PASS,"PASS",IF(P98&gt;=CVI_BORDER,"BORDERLINE","FAIL")))</f>
        <v/>
      </c>
    </row>
    <row r="99">
      <c r="A99" s="9" t="inlineStr">
        <is>
          <t>L034</t>
        </is>
      </c>
      <c r="B99" s="17" t="inlineStr">
        <is>
          <t>Lesson Sentence</t>
        </is>
      </c>
      <c r="C99" s="18" t="inlineStr">
        <is>
          <t>तु खुद से भात बनाये अहा।</t>
        </is>
      </c>
      <c r="D99" s="19" t="inlineStr">
        <is>
          <t>Tu khud se bhaat banaaye aha.</t>
        </is>
      </c>
      <c r="E99" s="20" t="inlineStr">
        <is>
          <t>You yourself had cooked rice.</t>
        </is>
      </c>
      <c r="F99" s="17" t="inlineStr">
        <is>
          <t>Food &amp; Kitchen</t>
        </is>
      </c>
      <c r="G99" s="21" t="inlineStr">
        <is>
          <t>Unit 4: Food &amp; Kitchen / Rasoi — The Kitchen</t>
        </is>
      </c>
      <c r="H99" s="22" t="inlineStr"/>
      <c r="I99" s="22" t="inlineStr"/>
      <c r="J99" s="22" t="inlineStr"/>
      <c r="K99" s="22" t="inlineStr"/>
      <c r="L99" s="22" t="inlineStr"/>
      <c r="M99" s="22" t="inlineStr"/>
      <c r="N99" s="22" t="inlineStr"/>
      <c r="O99" s="23">
        <f>COUNTIF(H99:N99,"&gt;=3")</f>
        <v/>
      </c>
      <c r="P99" s="24">
        <f>IF(COUNT(H99:N99)=0,"",COUNTIF(H99:N99,"&gt;=3")/COUNT(H99:N99))</f>
        <v/>
      </c>
      <c r="Q99" s="25">
        <f>IF(COUNT(H99:N99)=0,"",AVERAGE(H99:N99))</f>
        <v/>
      </c>
      <c r="R99" s="25">
        <f>IF(COUNT(H99:N99)&lt;2,"",STDEV(H99:N99))</f>
        <v/>
      </c>
      <c r="S99" s="26">
        <f>IF(COUNT(H99:N99)=0,"",COMBIN(COUNT(H99:N99),COUNTIF(H99:N99,"&gt;=3"))*0.5^COUNT(H99:N99))</f>
        <v/>
      </c>
      <c r="T99" s="25">
        <f>IFERROR(IF(P99="","",(P99-S99)/(1-S99)),"")</f>
        <v/>
      </c>
      <c r="U99" s="27">
        <f>IF(P99="","Awaiting",IF(P99&gt;=CVI_PASS,"PASS",IF(P99&gt;=CVI_BORDER,"BORDERLINE","FAIL")))</f>
        <v/>
      </c>
    </row>
    <row r="100">
      <c r="A100" s="9" t="inlineStr">
        <is>
          <t>L035</t>
        </is>
      </c>
      <c r="B100" s="17" t="inlineStr">
        <is>
          <t>Lesson Sentence</t>
        </is>
      </c>
      <c r="C100" s="18" t="inlineStr">
        <is>
          <t>भोज मा पूडी -सब्जी,हलुआ ,दही खीर आदि भोज लगता है ।</t>
        </is>
      </c>
      <c r="D100" s="19" t="inlineStr">
        <is>
          <t>Bhoj ma poori-sabzi, halwa, dahi, kheer aadi bhoj lagata hai.</t>
        </is>
      </c>
      <c r="E100" s="20" t="inlineStr">
        <is>
          <t>In the feast, puri-sabzi, halwa, yogurt, and kheer are served.</t>
        </is>
      </c>
      <c r="F100" s="17" t="inlineStr">
        <is>
          <t>Food &amp; Kitchen</t>
        </is>
      </c>
      <c r="G100" s="21" t="inlineStr">
        <is>
          <t>Unit 4: Food &amp; Kitchen / Rasoi — The Kitchen</t>
        </is>
      </c>
      <c r="H100" s="22" t="inlineStr"/>
      <c r="I100" s="22" t="inlineStr"/>
      <c r="J100" s="22" t="inlineStr"/>
      <c r="K100" s="22" t="inlineStr"/>
      <c r="L100" s="22" t="inlineStr"/>
      <c r="M100" s="22" t="inlineStr"/>
      <c r="N100" s="22" t="inlineStr"/>
      <c r="O100" s="23">
        <f>COUNTIF(H100:N100,"&gt;=3")</f>
        <v/>
      </c>
      <c r="P100" s="24">
        <f>IF(COUNT(H100:N100)=0,"",COUNTIF(H100:N100,"&gt;=3")/COUNT(H100:N100))</f>
        <v/>
      </c>
      <c r="Q100" s="25">
        <f>IF(COUNT(H100:N100)=0,"",AVERAGE(H100:N100))</f>
        <v/>
      </c>
      <c r="R100" s="25">
        <f>IF(COUNT(H100:N100)&lt;2,"",STDEV(H100:N100))</f>
        <v/>
      </c>
      <c r="S100" s="26">
        <f>IF(COUNT(H100:N100)=0,"",COMBIN(COUNT(H100:N100),COUNTIF(H100:N100,"&gt;=3"))*0.5^COUNT(H100:N100))</f>
        <v/>
      </c>
      <c r="T100" s="25">
        <f>IFERROR(IF(P100="","",(P100-S100)/(1-S100)),"")</f>
        <v/>
      </c>
      <c r="U100" s="27">
        <f>IF(P100="","Awaiting",IF(P100&gt;=CVI_PASS,"PASS",IF(P100&gt;=CVI_BORDER,"BORDERLINE","FAIL")))</f>
        <v/>
      </c>
    </row>
    <row r="101">
      <c r="A101" s="9" t="inlineStr">
        <is>
          <t>L036</t>
        </is>
      </c>
      <c r="B101" s="17" t="inlineStr">
        <is>
          <t>Lesson Sentence</t>
        </is>
      </c>
      <c r="C101" s="18" t="inlineStr">
        <is>
          <t>हमका एक दर्जन केला दिया।</t>
        </is>
      </c>
      <c r="D101" s="19" t="inlineStr">
        <is>
          <t>Humka ek darjan kela diya.</t>
        </is>
      </c>
      <c r="E101" s="20" t="inlineStr">
        <is>
          <t>Give me a dozen bananas.</t>
        </is>
      </c>
      <c r="F101" s="17" t="inlineStr">
        <is>
          <t>Food &amp; Kitchen</t>
        </is>
      </c>
      <c r="G101" s="21" t="inlineStr">
        <is>
          <t>Unit 4: Food &amp; Kitchen / Thaali — Meals &amp; Sharing</t>
        </is>
      </c>
      <c r="H101" s="22" t="inlineStr"/>
      <c r="I101" s="22" t="inlineStr"/>
      <c r="J101" s="22" t="inlineStr"/>
      <c r="K101" s="22" t="inlineStr"/>
      <c r="L101" s="22" t="inlineStr"/>
      <c r="M101" s="22" t="inlineStr"/>
      <c r="N101" s="22" t="inlineStr"/>
      <c r="O101" s="23">
        <f>COUNTIF(H101:N101,"&gt;=3")</f>
        <v/>
      </c>
      <c r="P101" s="24">
        <f>IF(COUNT(H101:N101)=0,"",COUNTIF(H101:N101,"&gt;=3")/COUNT(H101:N101))</f>
        <v/>
      </c>
      <c r="Q101" s="25">
        <f>IF(COUNT(H101:N101)=0,"",AVERAGE(H101:N101))</f>
        <v/>
      </c>
      <c r="R101" s="25">
        <f>IF(COUNT(H101:N101)&lt;2,"",STDEV(H101:N101))</f>
        <v/>
      </c>
      <c r="S101" s="26">
        <f>IF(COUNT(H101:N101)=0,"",COMBIN(COUNT(H101:N101),COUNTIF(H101:N101,"&gt;=3"))*0.5^COUNT(H101:N101))</f>
        <v/>
      </c>
      <c r="T101" s="25">
        <f>IFERROR(IF(P101="","",(P101-S101)/(1-S101)),"")</f>
        <v/>
      </c>
      <c r="U101" s="27">
        <f>IF(P101="","Awaiting",IF(P101&gt;=CVI_PASS,"PASS",IF(P101&gt;=CVI_BORDER,"BORDERLINE","FAIL")))</f>
        <v/>
      </c>
    </row>
    <row r="102">
      <c r="A102" s="9" t="inlineStr">
        <is>
          <t>L037</t>
        </is>
      </c>
      <c r="B102" s="17" t="inlineStr">
        <is>
          <t>Lesson Sentence</t>
        </is>
      </c>
      <c r="C102" s="18" t="inlineStr">
        <is>
          <t>वे दुध-वुध खरीदिहैं।</t>
        </is>
      </c>
      <c r="D102" s="19" t="inlineStr">
        <is>
          <t>Ve doodh-voodh kharidihain.</t>
        </is>
      </c>
      <c r="E102" s="20" t="inlineStr">
        <is>
          <t>They will buy milk and such things.</t>
        </is>
      </c>
      <c r="F102" s="17" t="inlineStr">
        <is>
          <t>Food &amp; Kitchen</t>
        </is>
      </c>
      <c r="G102" s="21" t="inlineStr">
        <is>
          <t>Unit 4: Food &amp; Kitchen / Thaali — Meals &amp; Sharing</t>
        </is>
      </c>
      <c r="H102" s="22" t="inlineStr"/>
      <c r="I102" s="22" t="inlineStr"/>
      <c r="J102" s="22" t="inlineStr"/>
      <c r="K102" s="22" t="inlineStr"/>
      <c r="L102" s="22" t="inlineStr"/>
      <c r="M102" s="22" t="inlineStr"/>
      <c r="N102" s="22" t="inlineStr"/>
      <c r="O102" s="23">
        <f>COUNTIF(H102:N102,"&gt;=3")</f>
        <v/>
      </c>
      <c r="P102" s="24">
        <f>IF(COUNT(H102:N102)=0,"",COUNTIF(H102:N102,"&gt;=3")/COUNT(H102:N102))</f>
        <v/>
      </c>
      <c r="Q102" s="25">
        <f>IF(COUNT(H102:N102)=0,"",AVERAGE(H102:N102))</f>
        <v/>
      </c>
      <c r="R102" s="25">
        <f>IF(COUNT(H102:N102)&lt;2,"",STDEV(H102:N102))</f>
        <v/>
      </c>
      <c r="S102" s="26">
        <f>IF(COUNT(H102:N102)=0,"",COMBIN(COUNT(H102:N102),COUNTIF(H102:N102,"&gt;=3"))*0.5^COUNT(H102:N102))</f>
        <v/>
      </c>
      <c r="T102" s="25">
        <f>IFERROR(IF(P102="","",(P102-S102)/(1-S102)),"")</f>
        <v/>
      </c>
      <c r="U102" s="27">
        <f>IF(P102="","Awaiting",IF(P102&gt;=CVI_PASS,"PASS",IF(P102&gt;=CVI_BORDER,"BORDERLINE","FAIL")))</f>
        <v/>
      </c>
    </row>
    <row r="103">
      <c r="A103" s="9" t="inlineStr">
        <is>
          <t>L038</t>
        </is>
      </c>
      <c r="B103" s="17" t="inlineStr">
        <is>
          <t>Lesson Sentence</t>
        </is>
      </c>
      <c r="C103" s="18" t="inlineStr">
        <is>
          <t>वे उनका किताब दे थें।</t>
        </is>
      </c>
      <c r="D103" s="19" t="inlineStr">
        <is>
          <t>Ve unka kitaab de then.</t>
        </is>
      </c>
      <c r="E103" s="20" t="inlineStr">
        <is>
          <t>They used to give them books.</t>
        </is>
      </c>
      <c r="F103" s="17" t="inlineStr">
        <is>
          <t>Food &amp; Kitchen</t>
        </is>
      </c>
      <c r="G103" s="21" t="inlineStr">
        <is>
          <t>Unit 4: Food &amp; Kitchen / Thaali — Meals &amp; Sharing</t>
        </is>
      </c>
      <c r="H103" s="22" t="inlineStr"/>
      <c r="I103" s="22" t="inlineStr"/>
      <c r="J103" s="22" t="inlineStr"/>
      <c r="K103" s="22" t="inlineStr"/>
      <c r="L103" s="22" t="inlineStr"/>
      <c r="M103" s="22" t="inlineStr"/>
      <c r="N103" s="22" t="inlineStr"/>
      <c r="O103" s="23">
        <f>COUNTIF(H103:N103,"&gt;=3")</f>
        <v/>
      </c>
      <c r="P103" s="24">
        <f>IF(COUNT(H103:N103)=0,"",COUNTIF(H103:N103,"&gt;=3")/COUNT(H103:N103))</f>
        <v/>
      </c>
      <c r="Q103" s="25">
        <f>IF(COUNT(H103:N103)=0,"",AVERAGE(H103:N103))</f>
        <v/>
      </c>
      <c r="R103" s="25">
        <f>IF(COUNT(H103:N103)&lt;2,"",STDEV(H103:N103))</f>
        <v/>
      </c>
      <c r="S103" s="26">
        <f>IF(COUNT(H103:N103)=0,"",COMBIN(COUNT(H103:N103),COUNTIF(H103:N103,"&gt;=3"))*0.5^COUNT(H103:N103))</f>
        <v/>
      </c>
      <c r="T103" s="25">
        <f>IFERROR(IF(P103="","",(P103-S103)/(1-S103)),"")</f>
        <v/>
      </c>
      <c r="U103" s="27">
        <f>IF(P103="","Awaiting",IF(P103&gt;=CVI_PASS,"PASS",IF(P103&gt;=CVI_BORDER,"BORDERLINE","FAIL")))</f>
        <v/>
      </c>
    </row>
    <row r="104">
      <c r="A104" s="9" t="inlineStr">
        <is>
          <t>L039</t>
        </is>
      </c>
      <c r="B104" s="17" t="inlineStr">
        <is>
          <t>Lesson Sentence</t>
        </is>
      </c>
      <c r="C104" s="18" t="inlineStr">
        <is>
          <t>भोज मा पुडी-सब्जी खीर मिठाई ,लडडू आदि खाना बनत है ।</t>
        </is>
      </c>
      <c r="D104" s="19" t="inlineStr">
        <is>
          <t>Bhoj ma poori-sabzi, kheer, mithai, laddoo aadi khaana banat hai.</t>
        </is>
      </c>
      <c r="E104" s="20" t="inlineStr">
        <is>
          <t>In the feast, puri-sabzi, kheer, sweets, and laddoos are cooked.</t>
        </is>
      </c>
      <c r="F104" s="17" t="inlineStr">
        <is>
          <t>Food &amp; Kitchen</t>
        </is>
      </c>
      <c r="G104" s="21" t="inlineStr">
        <is>
          <t>Unit 4: Food &amp; Kitchen / Kalewa — Village Breakfast</t>
        </is>
      </c>
      <c r="H104" s="22" t="inlineStr"/>
      <c r="I104" s="22" t="inlineStr"/>
      <c r="J104" s="22" t="inlineStr"/>
      <c r="K104" s="22" t="inlineStr"/>
      <c r="L104" s="22" t="inlineStr"/>
      <c r="M104" s="22" t="inlineStr"/>
      <c r="N104" s="22" t="inlineStr"/>
      <c r="O104" s="23">
        <f>COUNTIF(H104:N104,"&gt;=3")</f>
        <v/>
      </c>
      <c r="P104" s="24">
        <f>IF(COUNT(H104:N104)=0,"",COUNTIF(H104:N104,"&gt;=3")/COUNT(H104:N104))</f>
        <v/>
      </c>
      <c r="Q104" s="25">
        <f>IF(COUNT(H104:N104)=0,"",AVERAGE(H104:N104))</f>
        <v/>
      </c>
      <c r="R104" s="25">
        <f>IF(COUNT(H104:N104)&lt;2,"",STDEV(H104:N104))</f>
        <v/>
      </c>
      <c r="S104" s="26">
        <f>IF(COUNT(H104:N104)=0,"",COMBIN(COUNT(H104:N104),COUNTIF(H104:N104,"&gt;=3"))*0.5^COUNT(H104:N104))</f>
        <v/>
      </c>
      <c r="T104" s="25">
        <f>IFERROR(IF(P104="","",(P104-S104)/(1-S104)),"")</f>
        <v/>
      </c>
      <c r="U104" s="27">
        <f>IF(P104="","Awaiting",IF(P104&gt;=CVI_PASS,"PASS",IF(P104&gt;=CVI_BORDER,"BORDERLINE","FAIL")))</f>
        <v/>
      </c>
    </row>
    <row r="105">
      <c r="A105" s="9" t="inlineStr">
        <is>
          <t>L040</t>
        </is>
      </c>
      <c r="B105" s="17" t="inlineStr">
        <is>
          <t>Lesson Sentence</t>
        </is>
      </c>
      <c r="C105" s="18" t="inlineStr">
        <is>
          <t>बिआह के पहिलेव भोज होत है।</t>
        </is>
      </c>
      <c r="D105" s="19" t="inlineStr">
        <is>
          <t>Biaah ke pahilev bhoj hot hai.</t>
        </is>
      </c>
      <c r="E105" s="20" t="inlineStr">
        <is>
          <t>There is a feast even before the wedding.</t>
        </is>
      </c>
      <c r="F105" s="17" t="inlineStr">
        <is>
          <t>Food &amp; Kitchen</t>
        </is>
      </c>
      <c r="G105" s="21" t="inlineStr">
        <is>
          <t>Unit 4: Food &amp; Kitchen / Kalewa — Village Breakfast</t>
        </is>
      </c>
      <c r="H105" s="22" t="inlineStr"/>
      <c r="I105" s="22" t="inlineStr"/>
      <c r="J105" s="22" t="inlineStr"/>
      <c r="K105" s="22" t="inlineStr"/>
      <c r="L105" s="22" t="inlineStr"/>
      <c r="M105" s="22" t="inlineStr"/>
      <c r="N105" s="22" t="inlineStr"/>
      <c r="O105" s="23">
        <f>COUNTIF(H105:N105,"&gt;=3")</f>
        <v/>
      </c>
      <c r="P105" s="24">
        <f>IF(COUNT(H105:N105)=0,"",COUNTIF(H105:N105,"&gt;=3")/COUNT(H105:N105))</f>
        <v/>
      </c>
      <c r="Q105" s="25">
        <f>IF(COUNT(H105:N105)=0,"",AVERAGE(H105:N105))</f>
        <v/>
      </c>
      <c r="R105" s="25">
        <f>IF(COUNT(H105:N105)&lt;2,"",STDEV(H105:N105))</f>
        <v/>
      </c>
      <c r="S105" s="26">
        <f>IF(COUNT(H105:N105)=0,"",COMBIN(COUNT(H105:N105),COUNTIF(H105:N105,"&gt;=3"))*0.5^COUNT(H105:N105))</f>
        <v/>
      </c>
      <c r="T105" s="25">
        <f>IFERROR(IF(P105="","",(P105-S105)/(1-S105)),"")</f>
        <v/>
      </c>
      <c r="U105" s="27">
        <f>IF(P105="","Awaiting",IF(P105&gt;=CVI_PASS,"PASS",IF(P105&gt;=CVI_BORDER,"BORDERLINE","FAIL")))</f>
        <v/>
      </c>
    </row>
    <row r="106">
      <c r="A106" s="9" t="inlineStr">
        <is>
          <t>L041</t>
        </is>
      </c>
      <c r="B106" s="17" t="inlineStr">
        <is>
          <t>Lesson Sentence</t>
        </is>
      </c>
      <c r="C106" s="18" t="inlineStr">
        <is>
          <t>जादातर जनम कय रसम अउर नामकरन कय रसम कौने कौने समय पय होत है।</t>
        </is>
      </c>
      <c r="D106" s="19" t="inlineStr">
        <is>
          <t>Jaadatar janam kay rasm aur naamkaran kay rasm kaunay kaunay samay pay hot hai.</t>
        </is>
      </c>
      <c r="E106" s="20" t="inlineStr">
        <is>
          <t>The birth and naming ceremonies happen at auspicious times.</t>
        </is>
      </c>
      <c r="F106" s="17" t="inlineStr">
        <is>
          <t>Cultural Traditions</t>
        </is>
      </c>
      <c r="G106" s="21" t="inlineStr">
        <is>
          <t>Unit 5: Cultural Traditions / Janam &amp; Naamkaran — Birth &amp; Naming</t>
        </is>
      </c>
      <c r="H106" s="22" t="inlineStr"/>
      <c r="I106" s="22" t="inlineStr"/>
      <c r="J106" s="22" t="inlineStr"/>
      <c r="K106" s="22" t="inlineStr"/>
      <c r="L106" s="22" t="inlineStr"/>
      <c r="M106" s="22" t="inlineStr"/>
      <c r="N106" s="22" t="inlineStr"/>
      <c r="O106" s="23">
        <f>COUNTIF(H106:N106,"&gt;=3")</f>
        <v/>
      </c>
      <c r="P106" s="24">
        <f>IF(COUNT(H106:N106)=0,"",COUNTIF(H106:N106,"&gt;=3")/COUNT(H106:N106))</f>
        <v/>
      </c>
      <c r="Q106" s="25">
        <f>IF(COUNT(H106:N106)=0,"",AVERAGE(H106:N106))</f>
        <v/>
      </c>
      <c r="R106" s="25">
        <f>IF(COUNT(H106:N106)&lt;2,"",STDEV(H106:N106))</f>
        <v/>
      </c>
      <c r="S106" s="26">
        <f>IF(COUNT(H106:N106)=0,"",COMBIN(COUNT(H106:N106),COUNTIF(H106:N106,"&gt;=3"))*0.5^COUNT(H106:N106))</f>
        <v/>
      </c>
      <c r="T106" s="25">
        <f>IFERROR(IF(P106="","",(P106-S106)/(1-S106)),"")</f>
        <v/>
      </c>
      <c r="U106" s="27">
        <f>IF(P106="","Awaiting",IF(P106&gt;=CVI_PASS,"PASS",IF(P106&gt;=CVI_BORDER,"BORDERLINE","FAIL")))</f>
        <v/>
      </c>
    </row>
    <row r="107">
      <c r="A107" s="9" t="inlineStr">
        <is>
          <t>L042</t>
        </is>
      </c>
      <c r="B107" s="17" t="inlineStr">
        <is>
          <t>Lesson Sentence</t>
        </is>
      </c>
      <c r="C107" s="18" t="inlineStr">
        <is>
          <t>जनम अउर नामकरन कय रसन पंडित द्वारा शुभ दिन अउर तिथि देख के निश्चित कीन जात है ।</t>
        </is>
      </c>
      <c r="D107" s="19" t="inlineStr">
        <is>
          <t>Janam aur naamkaran kay rasan pandit dvaara shubh din aur tithi dekh ke nishchit keen jaat hai.</t>
        </is>
      </c>
      <c r="E107" s="20" t="inlineStr">
        <is>
          <t>The birth and naming ceremony is fixed by the priest after checking an auspicious day and date.</t>
        </is>
      </c>
      <c r="F107" s="17" t="inlineStr">
        <is>
          <t>Cultural Traditions</t>
        </is>
      </c>
      <c r="G107" s="21" t="inlineStr">
        <is>
          <t>Unit 5: Cultural Traditions / Janam &amp; Naamkaran — Birth &amp; Naming</t>
        </is>
      </c>
      <c r="H107" s="22" t="inlineStr"/>
      <c r="I107" s="22" t="inlineStr"/>
      <c r="J107" s="22" t="inlineStr"/>
      <c r="K107" s="22" t="inlineStr"/>
      <c r="L107" s="22" t="inlineStr"/>
      <c r="M107" s="22" t="inlineStr"/>
      <c r="N107" s="22" t="inlineStr"/>
      <c r="O107" s="23">
        <f>COUNTIF(H107:N107,"&gt;=3")</f>
        <v/>
      </c>
      <c r="P107" s="24">
        <f>IF(COUNT(H107:N107)=0,"",COUNTIF(H107:N107,"&gt;=3")/COUNT(H107:N107))</f>
        <v/>
      </c>
      <c r="Q107" s="25">
        <f>IF(COUNT(H107:N107)=0,"",AVERAGE(H107:N107))</f>
        <v/>
      </c>
      <c r="R107" s="25">
        <f>IF(COUNT(H107:N107)&lt;2,"",STDEV(H107:N107))</f>
        <v/>
      </c>
      <c r="S107" s="26">
        <f>IF(COUNT(H107:N107)=0,"",COMBIN(COUNT(H107:N107),COUNTIF(H107:N107,"&gt;=3"))*0.5^COUNT(H107:N107))</f>
        <v/>
      </c>
      <c r="T107" s="25">
        <f>IFERROR(IF(P107="","",(P107-S107)/(1-S107)),"")</f>
        <v/>
      </c>
      <c r="U107" s="27">
        <f>IF(P107="","Awaiting",IF(P107&gt;=CVI_PASS,"PASS",IF(P107&gt;=CVI_BORDER,"BORDERLINE","FAIL")))</f>
        <v/>
      </c>
    </row>
    <row r="108">
      <c r="A108" s="9" t="inlineStr">
        <is>
          <t>L043</t>
        </is>
      </c>
      <c r="B108" s="17" t="inlineStr">
        <is>
          <t>Lesson Sentence</t>
        </is>
      </c>
      <c r="C108" s="18" t="inlineStr">
        <is>
          <t>जनम अउर नामकरन के रसम मा फ़ूल-फ़ल ,केला ,पूडी,सब्जी सब लागत है ।</t>
        </is>
      </c>
      <c r="D108" s="19" t="inlineStr">
        <is>
          <t>Janam aur naamkaran ke rasm ma phool-phal, kela, poori, sabzi sab laagat hai.</t>
        </is>
      </c>
      <c r="E108" s="20" t="inlineStr">
        <is>
          <t>Flowers, fruits, bananas, puri, and vegetables are all used in the birth and naming ceremony.</t>
        </is>
      </c>
      <c r="F108" s="17" t="inlineStr">
        <is>
          <t>Cultural Traditions</t>
        </is>
      </c>
      <c r="G108" s="21" t="inlineStr">
        <is>
          <t>Unit 5: Cultural Traditions / Janam &amp; Naamkaran — Birth &amp; Naming</t>
        </is>
      </c>
      <c r="H108" s="22" t="inlineStr"/>
      <c r="I108" s="22" t="inlineStr"/>
      <c r="J108" s="22" t="inlineStr"/>
      <c r="K108" s="22" t="inlineStr"/>
      <c r="L108" s="22" t="inlineStr"/>
      <c r="M108" s="22" t="inlineStr"/>
      <c r="N108" s="22" t="inlineStr"/>
      <c r="O108" s="23">
        <f>COUNTIF(H108:N108,"&gt;=3")</f>
        <v/>
      </c>
      <c r="P108" s="24">
        <f>IF(COUNT(H108:N108)=0,"",COUNTIF(H108:N108,"&gt;=3")/COUNT(H108:N108))</f>
        <v/>
      </c>
      <c r="Q108" s="25">
        <f>IF(COUNT(H108:N108)=0,"",AVERAGE(H108:N108))</f>
        <v/>
      </c>
      <c r="R108" s="25">
        <f>IF(COUNT(H108:N108)&lt;2,"",STDEV(H108:N108))</f>
        <v/>
      </c>
      <c r="S108" s="26">
        <f>IF(COUNT(H108:N108)=0,"",COMBIN(COUNT(H108:N108),COUNTIF(H108:N108,"&gt;=3"))*0.5^COUNT(H108:N108))</f>
        <v/>
      </c>
      <c r="T108" s="25">
        <f>IFERROR(IF(P108="","",(P108-S108)/(1-S108)),"")</f>
        <v/>
      </c>
      <c r="U108" s="27">
        <f>IF(P108="","Awaiting",IF(P108&gt;=CVI_PASS,"PASS",IF(P108&gt;=CVI_BORDER,"BORDERLINE","FAIL")))</f>
        <v/>
      </c>
    </row>
    <row r="109">
      <c r="A109" s="9" t="inlineStr">
        <is>
          <t>L044</t>
        </is>
      </c>
      <c r="B109" s="17" t="inlineStr">
        <is>
          <t>Lesson Sentence</t>
        </is>
      </c>
      <c r="C109" s="18" t="inlineStr">
        <is>
          <t>हमरे समाज मा शादी से सम्बन्धित रसम लगन,तिलक ,विवाह होत है ।</t>
        </is>
      </c>
      <c r="D109" s="19" t="inlineStr">
        <is>
          <t>Hamare samaaj ma shaadi se sambandhit rasm lagan, tilak, vivaah hot hai.</t>
        </is>
      </c>
      <c r="E109" s="20" t="inlineStr">
        <is>
          <t>In our society, wedding-related rituals include engagement, tilak, and marriage.</t>
        </is>
      </c>
      <c r="F109" s="17" t="inlineStr">
        <is>
          <t>Cultural Traditions</t>
        </is>
      </c>
      <c r="G109" s="21" t="inlineStr">
        <is>
          <t>Unit 5: Cultural Traditions / Biaah — Wedding Rituals</t>
        </is>
      </c>
      <c r="H109" s="22" t="inlineStr"/>
      <c r="I109" s="22" t="inlineStr"/>
      <c r="J109" s="22" t="inlineStr"/>
      <c r="K109" s="22" t="inlineStr"/>
      <c r="L109" s="22" t="inlineStr"/>
      <c r="M109" s="22" t="inlineStr"/>
      <c r="N109" s="22" t="inlineStr"/>
      <c r="O109" s="23">
        <f>COUNTIF(H109:N109,"&gt;=3")</f>
        <v/>
      </c>
      <c r="P109" s="24">
        <f>IF(COUNT(H109:N109)=0,"",COUNTIF(H109:N109,"&gt;=3")/COUNT(H109:N109))</f>
        <v/>
      </c>
      <c r="Q109" s="25">
        <f>IF(COUNT(H109:N109)=0,"",AVERAGE(H109:N109))</f>
        <v/>
      </c>
      <c r="R109" s="25">
        <f>IF(COUNT(H109:N109)&lt;2,"",STDEV(H109:N109))</f>
        <v/>
      </c>
      <c r="S109" s="26">
        <f>IF(COUNT(H109:N109)=0,"",COMBIN(COUNT(H109:N109),COUNTIF(H109:N109,"&gt;=3"))*0.5^COUNT(H109:N109))</f>
        <v/>
      </c>
      <c r="T109" s="25">
        <f>IFERROR(IF(P109="","",(P109-S109)/(1-S109)),"")</f>
        <v/>
      </c>
      <c r="U109" s="27">
        <f>IF(P109="","Awaiting",IF(P109&gt;=CVI_PASS,"PASS",IF(P109&gt;=CVI_BORDER,"BORDERLINE","FAIL")))</f>
        <v/>
      </c>
    </row>
    <row r="110">
      <c r="A110" s="9" t="inlineStr">
        <is>
          <t>L045</t>
        </is>
      </c>
      <c r="B110" s="17" t="inlineStr">
        <is>
          <t>Lesson Sentence</t>
        </is>
      </c>
      <c r="C110" s="18" t="inlineStr">
        <is>
          <t>बिआह के रसम मुख्यत: सिन्दूर दान ,सात फ़ेरा आदि हुअत है ।</t>
        </is>
      </c>
      <c r="D110" s="19" t="inlineStr">
        <is>
          <t>Biaah ke rasm mukhyatah sindoor daan, saat fera aadi huat hai.</t>
        </is>
      </c>
      <c r="E110" s="20" t="inlineStr">
        <is>
          <t>The main wedding rituals are sindoor ceremony and the seven sacred rounds.</t>
        </is>
      </c>
      <c r="F110" s="17" t="inlineStr">
        <is>
          <t>Cultural Traditions</t>
        </is>
      </c>
      <c r="G110" s="21" t="inlineStr">
        <is>
          <t>Unit 5: Cultural Traditions / Biaah — Wedding Rituals</t>
        </is>
      </c>
      <c r="H110" s="22" t="inlineStr"/>
      <c r="I110" s="22" t="inlineStr"/>
      <c r="J110" s="22" t="inlineStr"/>
      <c r="K110" s="22" t="inlineStr"/>
      <c r="L110" s="22" t="inlineStr"/>
      <c r="M110" s="22" t="inlineStr"/>
      <c r="N110" s="22" t="inlineStr"/>
      <c r="O110" s="23">
        <f>COUNTIF(H110:N110,"&gt;=3")</f>
        <v/>
      </c>
      <c r="P110" s="24">
        <f>IF(COUNT(H110:N110)=0,"",COUNTIF(H110:N110,"&gt;=3")/COUNT(H110:N110))</f>
        <v/>
      </c>
      <c r="Q110" s="25">
        <f>IF(COUNT(H110:N110)=0,"",AVERAGE(H110:N110))</f>
        <v/>
      </c>
      <c r="R110" s="25">
        <f>IF(COUNT(H110:N110)&lt;2,"",STDEV(H110:N110))</f>
        <v/>
      </c>
      <c r="S110" s="26">
        <f>IF(COUNT(H110:N110)=0,"",COMBIN(COUNT(H110:N110),COUNTIF(H110:N110,"&gt;=3"))*0.5^COUNT(H110:N110))</f>
        <v/>
      </c>
      <c r="T110" s="25">
        <f>IFERROR(IF(P110="","",(P110-S110)/(1-S110)),"")</f>
        <v/>
      </c>
      <c r="U110" s="27">
        <f>IF(P110="","Awaiting",IF(P110&gt;=CVI_PASS,"PASS",IF(P110&gt;=CVI_BORDER,"BORDERLINE","FAIL")))</f>
        <v/>
      </c>
    </row>
    <row r="111">
      <c r="A111" s="9" t="inlineStr">
        <is>
          <t>L046</t>
        </is>
      </c>
      <c r="B111" s="17" t="inlineStr">
        <is>
          <t>Lesson Sentence</t>
        </is>
      </c>
      <c r="C111" s="18" t="inlineStr">
        <is>
          <t>बिआह के रसम का पंडित करवावा थीं अउर लडका अउर लडकी के माँ-बाप मिल के करा थीं ।</t>
        </is>
      </c>
      <c r="D111" s="19" t="inlineStr">
        <is>
          <t>Biaah ke rasm ka pandit karvaava thin aur ladka aur ladki ke maa-baap mil ke kara thin.</t>
        </is>
      </c>
      <c r="E111" s="20" t="inlineStr">
        <is>
          <t>The wedding rituals were performed by the priest and the parents of the couple together.</t>
        </is>
      </c>
      <c r="F111" s="17" t="inlineStr">
        <is>
          <t>Cultural Traditions</t>
        </is>
      </c>
      <c r="G111" s="21" t="inlineStr">
        <is>
          <t>Unit 5: Cultural Traditions / Biaah — Wedding Rituals</t>
        </is>
      </c>
      <c r="H111" s="22" t="inlineStr"/>
      <c r="I111" s="22" t="inlineStr"/>
      <c r="J111" s="22" t="inlineStr"/>
      <c r="K111" s="22" t="inlineStr"/>
      <c r="L111" s="22" t="inlineStr"/>
      <c r="M111" s="22" t="inlineStr"/>
      <c r="N111" s="22" t="inlineStr"/>
      <c r="O111" s="23">
        <f>COUNTIF(H111:N111,"&gt;=3")</f>
        <v/>
      </c>
      <c r="P111" s="24">
        <f>IF(COUNT(H111:N111)=0,"",COUNTIF(H111:N111,"&gt;=3")/COUNT(H111:N111))</f>
        <v/>
      </c>
      <c r="Q111" s="25">
        <f>IF(COUNT(H111:N111)=0,"",AVERAGE(H111:N111))</f>
        <v/>
      </c>
      <c r="R111" s="25">
        <f>IF(COUNT(H111:N111)&lt;2,"",STDEV(H111:N111))</f>
        <v/>
      </c>
      <c r="S111" s="26">
        <f>IF(COUNT(H111:N111)=0,"",COMBIN(COUNT(H111:N111),COUNTIF(H111:N111,"&gt;=3"))*0.5^COUNT(H111:N111))</f>
        <v/>
      </c>
      <c r="T111" s="25">
        <f>IFERROR(IF(P111="","",(P111-S111)/(1-S111)),"")</f>
        <v/>
      </c>
      <c r="U111" s="27">
        <f>IF(P111="","Awaiting",IF(P111&gt;=CVI_PASS,"PASS",IF(P111&gt;=CVI_BORDER,"BORDERLINE","FAIL")))</f>
        <v/>
      </c>
    </row>
    <row r="112">
      <c r="A112" s="9" t="inlineStr">
        <is>
          <t>L047</t>
        </is>
      </c>
      <c r="B112" s="17" t="inlineStr">
        <is>
          <t>Lesson Sentence</t>
        </is>
      </c>
      <c r="C112" s="18" t="inlineStr">
        <is>
          <t>हमरे समाज मा मित्यु से सम्बन्धित रसम तेरहवीं अउर वरषी हुआ थै।</t>
        </is>
      </c>
      <c r="D112" s="19" t="inlineStr">
        <is>
          <t>Hamare samaaj ma mityu se sambandhit rasm terhaveen aur varshi hua thai.</t>
        </is>
      </c>
      <c r="E112" s="20" t="inlineStr">
        <is>
          <t>In our society, the death-related rituals are the 13th-day ceremony and the annual memorial.</t>
        </is>
      </c>
      <c r="F112" s="17" t="inlineStr">
        <is>
          <t>Cultural Traditions</t>
        </is>
      </c>
      <c r="G112" s="21" t="inlineStr">
        <is>
          <t>Unit 5: Cultural Traditions / Mrityu — Death Customs</t>
        </is>
      </c>
      <c r="H112" s="22" t="inlineStr"/>
      <c r="I112" s="22" t="inlineStr"/>
      <c r="J112" s="22" t="inlineStr"/>
      <c r="K112" s="22" t="inlineStr"/>
      <c r="L112" s="22" t="inlineStr"/>
      <c r="M112" s="22" t="inlineStr"/>
      <c r="N112" s="22" t="inlineStr"/>
      <c r="O112" s="23">
        <f>COUNTIF(H112:N112,"&gt;=3")</f>
        <v/>
      </c>
      <c r="P112" s="24">
        <f>IF(COUNT(H112:N112)=0,"",COUNTIF(H112:N112,"&gt;=3")/COUNT(H112:N112))</f>
        <v/>
      </c>
      <c r="Q112" s="25">
        <f>IF(COUNT(H112:N112)=0,"",AVERAGE(H112:N112))</f>
        <v/>
      </c>
      <c r="R112" s="25">
        <f>IF(COUNT(H112:N112)&lt;2,"",STDEV(H112:N112))</f>
        <v/>
      </c>
      <c r="S112" s="26">
        <f>IF(COUNT(H112:N112)=0,"",COMBIN(COUNT(H112:N112),COUNTIF(H112:N112,"&gt;=3"))*0.5^COUNT(H112:N112))</f>
        <v/>
      </c>
      <c r="T112" s="25">
        <f>IFERROR(IF(P112="","",(P112-S112)/(1-S112)),"")</f>
        <v/>
      </c>
      <c r="U112" s="27">
        <f>IF(P112="","Awaiting",IF(P112&gt;=CVI_PASS,"PASS",IF(P112&gt;=CVI_BORDER,"BORDERLINE","FAIL")))</f>
        <v/>
      </c>
    </row>
    <row r="113">
      <c r="A113" s="9" t="inlineStr">
        <is>
          <t>L048</t>
        </is>
      </c>
      <c r="B113" s="17" t="inlineStr">
        <is>
          <t>Lesson Sentence</t>
        </is>
      </c>
      <c r="C113" s="18" t="inlineStr">
        <is>
          <t>समान्यत: म्रित्यु कय रसम म्रित्यु वाले आदमी के घरे पय हुआ थै।</t>
        </is>
      </c>
      <c r="D113" s="19" t="inlineStr">
        <is>
          <t>Samaanyatah mrityu kay rasm mrityu vale aadmi ke ghare pay hua thai.</t>
        </is>
      </c>
      <c r="E113" s="20" t="inlineStr">
        <is>
          <t>Generally, the death rituals take place at the home of the deceased.</t>
        </is>
      </c>
      <c r="F113" s="17" t="inlineStr">
        <is>
          <t>Cultural Traditions</t>
        </is>
      </c>
      <c r="G113" s="21" t="inlineStr">
        <is>
          <t>Unit 5: Cultural Traditions / Mrityu — Death Customs</t>
        </is>
      </c>
      <c r="H113" s="22" t="inlineStr"/>
      <c r="I113" s="22" t="inlineStr"/>
      <c r="J113" s="22" t="inlineStr"/>
      <c r="K113" s="22" t="inlineStr"/>
      <c r="L113" s="22" t="inlineStr"/>
      <c r="M113" s="22" t="inlineStr"/>
      <c r="N113" s="22" t="inlineStr"/>
      <c r="O113" s="23">
        <f>COUNTIF(H113:N113,"&gt;=3")</f>
        <v/>
      </c>
      <c r="P113" s="24">
        <f>IF(COUNT(H113:N113)=0,"",COUNTIF(H113:N113,"&gt;=3")/COUNT(H113:N113))</f>
        <v/>
      </c>
      <c r="Q113" s="25">
        <f>IF(COUNT(H113:N113)=0,"",AVERAGE(H113:N113))</f>
        <v/>
      </c>
      <c r="R113" s="25">
        <f>IF(COUNT(H113:N113)&lt;2,"",STDEV(H113:N113))</f>
        <v/>
      </c>
      <c r="S113" s="26">
        <f>IF(COUNT(H113:N113)=0,"",COMBIN(COUNT(H113:N113),COUNTIF(H113:N113,"&gt;=3"))*0.5^COUNT(H113:N113))</f>
        <v/>
      </c>
      <c r="T113" s="25">
        <f>IFERROR(IF(P113="","",(P113-S113)/(1-S113)),"")</f>
        <v/>
      </c>
      <c r="U113" s="27">
        <f>IF(P113="","Awaiting",IF(P113&gt;=CVI_PASS,"PASS",IF(P113&gt;=CVI_BORDER,"BORDERLINE","FAIL")))</f>
        <v/>
      </c>
    </row>
    <row r="114">
      <c r="A114" s="9" t="inlineStr">
        <is>
          <t>L049</t>
        </is>
      </c>
      <c r="B114" s="17" t="inlineStr">
        <is>
          <t>Lesson Sentence</t>
        </is>
      </c>
      <c r="C114" s="18" t="inlineStr">
        <is>
          <t>हम जाबय जब अम्मा आय जइहैं।</t>
        </is>
      </c>
      <c r="D114" s="19" t="inlineStr">
        <is>
          <t>Hum jaabay jab amma aay jaihain.</t>
        </is>
      </c>
      <c r="E114" s="20" t="inlineStr">
        <is>
          <t>I will go when mother arrives.</t>
        </is>
      </c>
      <c r="F114" s="17" t="inlineStr">
        <is>
          <t>Advanced Sentences</t>
        </is>
      </c>
      <c r="G114" s="21" t="inlineStr">
        <is>
          <t>Unit 6: Advanced Sentences / Conditional Sentences</t>
        </is>
      </c>
      <c r="H114" s="22" t="inlineStr"/>
      <c r="I114" s="22" t="inlineStr"/>
      <c r="J114" s="22" t="inlineStr"/>
      <c r="K114" s="22" t="inlineStr"/>
      <c r="L114" s="22" t="inlineStr"/>
      <c r="M114" s="22" t="inlineStr"/>
      <c r="N114" s="22" t="inlineStr"/>
      <c r="O114" s="23">
        <f>COUNTIF(H114:N114,"&gt;=3")</f>
        <v/>
      </c>
      <c r="P114" s="24">
        <f>IF(COUNT(H114:N114)=0,"",COUNTIF(H114:N114,"&gt;=3")/COUNT(H114:N114))</f>
        <v/>
      </c>
      <c r="Q114" s="25">
        <f>IF(COUNT(H114:N114)=0,"",AVERAGE(H114:N114))</f>
        <v/>
      </c>
      <c r="R114" s="25">
        <f>IF(COUNT(H114:N114)&lt;2,"",STDEV(H114:N114))</f>
        <v/>
      </c>
      <c r="S114" s="26">
        <f>IF(COUNT(H114:N114)=0,"",COMBIN(COUNT(H114:N114),COUNTIF(H114:N114,"&gt;=3"))*0.5^COUNT(H114:N114))</f>
        <v/>
      </c>
      <c r="T114" s="25">
        <f>IFERROR(IF(P114="","",(P114-S114)/(1-S114)),"")</f>
        <v/>
      </c>
      <c r="U114" s="27">
        <f>IF(P114="","Awaiting",IF(P114&gt;=CVI_PASS,"PASS",IF(P114&gt;=CVI_BORDER,"BORDERLINE","FAIL")))</f>
        <v/>
      </c>
    </row>
    <row r="115">
      <c r="A115" s="9" t="inlineStr">
        <is>
          <t>L050</t>
        </is>
      </c>
      <c r="B115" s="17" t="inlineStr">
        <is>
          <t>Lesson Sentence</t>
        </is>
      </c>
      <c r="C115" s="18" t="inlineStr">
        <is>
          <t>अगर वे कल आवा होतें तौ हम मना कय सकत रहिन।</t>
        </is>
      </c>
      <c r="D115" s="19" t="inlineStr">
        <is>
          <t>Agar ve kal aava hoten tau hum mana kay sakat rahin.</t>
        </is>
      </c>
      <c r="E115" s="20" t="inlineStr">
        <is>
          <t>If they had come yesterday, I could have refused.</t>
        </is>
      </c>
      <c r="F115" s="17" t="inlineStr">
        <is>
          <t>Advanced Sentences</t>
        </is>
      </c>
      <c r="G115" s="21" t="inlineStr">
        <is>
          <t>Unit 6: Advanced Sentences / Conditional Sentences</t>
        </is>
      </c>
      <c r="H115" s="22" t="inlineStr"/>
      <c r="I115" s="22" t="inlineStr"/>
      <c r="J115" s="22" t="inlineStr"/>
      <c r="K115" s="22" t="inlineStr"/>
      <c r="L115" s="22" t="inlineStr"/>
      <c r="M115" s="22" t="inlineStr"/>
      <c r="N115" s="22" t="inlineStr"/>
      <c r="O115" s="23">
        <f>COUNTIF(H115:N115,"&gt;=3")</f>
        <v/>
      </c>
      <c r="P115" s="24">
        <f>IF(COUNT(H115:N115)=0,"",COUNTIF(H115:N115,"&gt;=3")/COUNT(H115:N115))</f>
        <v/>
      </c>
      <c r="Q115" s="25">
        <f>IF(COUNT(H115:N115)=0,"",AVERAGE(H115:N115))</f>
        <v/>
      </c>
      <c r="R115" s="25">
        <f>IF(COUNT(H115:N115)&lt;2,"",STDEV(H115:N115))</f>
        <v/>
      </c>
      <c r="S115" s="26">
        <f>IF(COUNT(H115:N115)=0,"",COMBIN(COUNT(H115:N115),COUNTIF(H115:N115,"&gt;=3"))*0.5^COUNT(H115:N115))</f>
        <v/>
      </c>
      <c r="T115" s="25">
        <f>IFERROR(IF(P115="","",(P115-S115)/(1-S115)),"")</f>
        <v/>
      </c>
      <c r="U115" s="27">
        <f>IF(P115="","Awaiting",IF(P115&gt;=CVI_PASS,"PASS",IF(P115&gt;=CVI_BORDER,"BORDERLINE","FAIL")))</f>
        <v/>
      </c>
    </row>
    <row r="116">
      <c r="A116" s="9" t="inlineStr">
        <is>
          <t>L051</t>
        </is>
      </c>
      <c r="B116" s="17" t="inlineStr">
        <is>
          <t>Lesson Sentence</t>
        </is>
      </c>
      <c r="C116" s="18" t="inlineStr">
        <is>
          <t>हम चाही थे की तू एक अच्छा इन्सान बना।</t>
        </is>
      </c>
      <c r="D116" s="19" t="inlineStr">
        <is>
          <t>Hum chaahi the ki tu ek achchha insaan bana.</t>
        </is>
      </c>
      <c r="E116" s="20" t="inlineStr">
        <is>
          <t>I wanted you to become a good person.</t>
        </is>
      </c>
      <c r="F116" s="17" t="inlineStr">
        <is>
          <t>Advanced Sentences</t>
        </is>
      </c>
      <c r="G116" s="21" t="inlineStr">
        <is>
          <t>Unit 6: Advanced Sentences / Conditional Sentences</t>
        </is>
      </c>
      <c r="H116" s="22" t="inlineStr"/>
      <c r="I116" s="22" t="inlineStr"/>
      <c r="J116" s="22" t="inlineStr"/>
      <c r="K116" s="22" t="inlineStr"/>
      <c r="L116" s="22" t="inlineStr"/>
      <c r="M116" s="22" t="inlineStr"/>
      <c r="N116" s="22" t="inlineStr"/>
      <c r="O116" s="23">
        <f>COUNTIF(H116:N116,"&gt;=3")</f>
        <v/>
      </c>
      <c r="P116" s="24">
        <f>IF(COUNT(H116:N116)=0,"",COUNTIF(H116:N116,"&gt;=3")/COUNT(H116:N116))</f>
        <v/>
      </c>
      <c r="Q116" s="25">
        <f>IF(COUNT(H116:N116)=0,"",AVERAGE(H116:N116))</f>
        <v/>
      </c>
      <c r="R116" s="25">
        <f>IF(COUNT(H116:N116)&lt;2,"",STDEV(H116:N116))</f>
        <v/>
      </c>
      <c r="S116" s="26">
        <f>IF(COUNT(H116:N116)=0,"",COMBIN(COUNT(H116:N116),COUNTIF(H116:N116,"&gt;=3"))*0.5^COUNT(H116:N116))</f>
        <v/>
      </c>
      <c r="T116" s="25">
        <f>IFERROR(IF(P116="","",(P116-S116)/(1-S116)),"")</f>
        <v/>
      </c>
      <c r="U116" s="27">
        <f>IF(P116="","Awaiting",IF(P116&gt;=CVI_PASS,"PASS",IF(P116&gt;=CVI_BORDER,"BORDERLINE","FAIL")))</f>
        <v/>
      </c>
    </row>
    <row r="117">
      <c r="A117" s="9" t="inlineStr">
        <is>
          <t>L052</t>
        </is>
      </c>
      <c r="B117" s="17" t="inlineStr">
        <is>
          <t>Lesson Sentence</t>
        </is>
      </c>
      <c r="C117" s="18" t="inlineStr">
        <is>
          <t>जहाँ-तहाँ किताब बिखरी पडी बाटय।</t>
        </is>
      </c>
      <c r="D117" s="19" t="inlineStr">
        <is>
          <t>Jahaan-tahaan kitaab bikhari padi baatay.</t>
        </is>
      </c>
      <c r="E117" s="20" t="inlineStr">
        <is>
          <t>Books are scattered here and there.</t>
        </is>
      </c>
      <c r="F117" s="17" t="inlineStr">
        <is>
          <t>Advanced Sentences</t>
        </is>
      </c>
      <c r="G117" s="21" t="inlineStr">
        <is>
          <t>Unit 6: Advanced Sentences / Complex Expressions</t>
        </is>
      </c>
      <c r="H117" s="22" t="inlineStr"/>
      <c r="I117" s="22" t="inlineStr"/>
      <c r="J117" s="22" t="inlineStr"/>
      <c r="K117" s="22" t="inlineStr"/>
      <c r="L117" s="22" t="inlineStr"/>
      <c r="M117" s="22" t="inlineStr"/>
      <c r="N117" s="22" t="inlineStr"/>
      <c r="O117" s="23">
        <f>COUNTIF(H117:N117,"&gt;=3")</f>
        <v/>
      </c>
      <c r="P117" s="24">
        <f>IF(COUNT(H117:N117)=0,"",COUNTIF(H117:N117,"&gt;=3")/COUNT(H117:N117))</f>
        <v/>
      </c>
      <c r="Q117" s="25">
        <f>IF(COUNT(H117:N117)=0,"",AVERAGE(H117:N117))</f>
        <v/>
      </c>
      <c r="R117" s="25">
        <f>IF(COUNT(H117:N117)&lt;2,"",STDEV(H117:N117))</f>
        <v/>
      </c>
      <c r="S117" s="26">
        <f>IF(COUNT(H117:N117)=0,"",COMBIN(COUNT(H117:N117),COUNTIF(H117:N117,"&gt;=3"))*0.5^COUNT(H117:N117))</f>
        <v/>
      </c>
      <c r="T117" s="25">
        <f>IFERROR(IF(P117="","",(P117-S117)/(1-S117)),"")</f>
        <v/>
      </c>
      <c r="U117" s="27">
        <f>IF(P117="","Awaiting",IF(P117&gt;=CVI_PASS,"PASS",IF(P117&gt;=CVI_BORDER,"BORDERLINE","FAIL")))</f>
        <v/>
      </c>
    </row>
    <row r="118">
      <c r="A118" s="9" t="inlineStr">
        <is>
          <t>L053</t>
        </is>
      </c>
      <c r="B118" s="17" t="inlineStr">
        <is>
          <t>Lesson Sentence</t>
        </is>
      </c>
      <c r="C118" s="18" t="inlineStr">
        <is>
          <t>भूख से हमार अंतरी ककुरात अहय।</t>
        </is>
      </c>
      <c r="D118" s="19" t="inlineStr">
        <is>
          <t>Bhookh se hamaar antari kakuraat ahay.</t>
        </is>
      </c>
      <c r="E118" s="20" t="inlineStr">
        <is>
          <t>Our stomach is growling with hunger.</t>
        </is>
      </c>
      <c r="F118" s="17" t="inlineStr">
        <is>
          <t>Advanced Sentences</t>
        </is>
      </c>
      <c r="G118" s="21" t="inlineStr">
        <is>
          <t>Unit 6: Advanced Sentences / Complex Expressions</t>
        </is>
      </c>
      <c r="H118" s="22" t="inlineStr"/>
      <c r="I118" s="22" t="inlineStr"/>
      <c r="J118" s="22" t="inlineStr"/>
      <c r="K118" s="22" t="inlineStr"/>
      <c r="L118" s="22" t="inlineStr"/>
      <c r="M118" s="22" t="inlineStr"/>
      <c r="N118" s="22" t="inlineStr"/>
      <c r="O118" s="23">
        <f>COUNTIF(H118:N118,"&gt;=3")</f>
        <v/>
      </c>
      <c r="P118" s="24">
        <f>IF(COUNT(H118:N118)=0,"",COUNTIF(H118:N118,"&gt;=3")/COUNT(H118:N118))</f>
        <v/>
      </c>
      <c r="Q118" s="25">
        <f>IF(COUNT(H118:N118)=0,"",AVERAGE(H118:N118))</f>
        <v/>
      </c>
      <c r="R118" s="25">
        <f>IF(COUNT(H118:N118)&lt;2,"",STDEV(H118:N118))</f>
        <v/>
      </c>
      <c r="S118" s="26">
        <f>IF(COUNT(H118:N118)=0,"",COMBIN(COUNT(H118:N118),COUNTIF(H118:N118,"&gt;=3"))*0.5^COUNT(H118:N118))</f>
        <v/>
      </c>
      <c r="T118" s="25">
        <f>IFERROR(IF(P118="","",(P118-S118)/(1-S118)),"")</f>
        <v/>
      </c>
      <c r="U118" s="27">
        <f>IF(P118="","Awaiting",IF(P118&gt;=CVI_PASS,"PASS",IF(P118&gt;=CVI_BORDER,"BORDERLINE","FAIL")))</f>
        <v/>
      </c>
    </row>
    <row r="119">
      <c r="A119" s="9" t="inlineStr">
        <is>
          <t>L054</t>
        </is>
      </c>
      <c r="B119" s="17" t="inlineStr">
        <is>
          <t>Lesson Sentence</t>
        </is>
      </c>
      <c r="C119" s="18" t="inlineStr">
        <is>
          <t>गाँव कय ई सबसे पुरान पेड आय।</t>
        </is>
      </c>
      <c r="D119" s="19" t="inlineStr">
        <is>
          <t>Gaav kay ee sabse puraan ped aay.</t>
        </is>
      </c>
      <c r="E119" s="20" t="inlineStr">
        <is>
          <t>This is the oldest tree in the village.</t>
        </is>
      </c>
      <c r="F119" s="17" t="inlineStr">
        <is>
          <t>Advanced Sentences</t>
        </is>
      </c>
      <c r="G119" s="21" t="inlineStr">
        <is>
          <t>Unit 6: Advanced Sentences / Complex Expressions</t>
        </is>
      </c>
      <c r="H119" s="22" t="inlineStr"/>
      <c r="I119" s="22" t="inlineStr"/>
      <c r="J119" s="22" t="inlineStr"/>
      <c r="K119" s="22" t="inlineStr"/>
      <c r="L119" s="22" t="inlineStr"/>
      <c r="M119" s="22" t="inlineStr"/>
      <c r="N119" s="22" t="inlineStr"/>
      <c r="O119" s="23">
        <f>COUNTIF(H119:N119,"&gt;=3")</f>
        <v/>
      </c>
      <c r="P119" s="24">
        <f>IF(COUNT(H119:N119)=0,"",COUNTIF(H119:N119,"&gt;=3")/COUNT(H119:N119))</f>
        <v/>
      </c>
      <c r="Q119" s="25">
        <f>IF(COUNT(H119:N119)=0,"",AVERAGE(H119:N119))</f>
        <v/>
      </c>
      <c r="R119" s="25">
        <f>IF(COUNT(H119:N119)&lt;2,"",STDEV(H119:N119))</f>
        <v/>
      </c>
      <c r="S119" s="26">
        <f>IF(COUNT(H119:N119)=0,"",COMBIN(COUNT(H119:N119),COUNTIF(H119:N119,"&gt;=3"))*0.5^COUNT(H119:N119))</f>
        <v/>
      </c>
      <c r="T119" s="25">
        <f>IFERROR(IF(P119="","",(P119-S119)/(1-S119)),"")</f>
        <v/>
      </c>
      <c r="U119" s="27">
        <f>IF(P119="","Awaiting",IF(P119&gt;=CVI_PASS,"PASS",IF(P119&gt;=CVI_BORDER,"BORDERLINE","FAIL")))</f>
        <v/>
      </c>
    </row>
    <row r="120">
      <c r="A120" s="9" t="inlineStr">
        <is>
          <t>L055</t>
        </is>
      </c>
      <c r="B120" s="17" t="inlineStr">
        <is>
          <t>Lesson Sentence</t>
        </is>
      </c>
      <c r="C120" s="18" t="inlineStr">
        <is>
          <t>वे बिना केहू का बतायेन चला गये।</t>
        </is>
      </c>
      <c r="D120" s="19" t="inlineStr">
        <is>
          <t>Ve bina kehu ka bataayen chala gaye.</t>
        </is>
      </c>
      <c r="E120" s="20" t="inlineStr">
        <is>
          <t>They left without telling anyone.</t>
        </is>
      </c>
      <c r="F120" s="17" t="inlineStr">
        <is>
          <t>Advanced Sentences</t>
        </is>
      </c>
      <c r="G120" s="21" t="inlineStr">
        <is>
          <t>Unit 6: Advanced Sentences / Complex Expressions</t>
        </is>
      </c>
      <c r="H120" s="22" t="inlineStr"/>
      <c r="I120" s="22" t="inlineStr"/>
      <c r="J120" s="22" t="inlineStr"/>
      <c r="K120" s="22" t="inlineStr"/>
      <c r="L120" s="22" t="inlineStr"/>
      <c r="M120" s="22" t="inlineStr"/>
      <c r="N120" s="22" t="inlineStr"/>
      <c r="O120" s="23">
        <f>COUNTIF(H120:N120,"&gt;=3")</f>
        <v/>
      </c>
      <c r="P120" s="24">
        <f>IF(COUNT(H120:N120)=0,"",COUNTIF(H120:N120,"&gt;=3")/COUNT(H120:N120))</f>
        <v/>
      </c>
      <c r="Q120" s="25">
        <f>IF(COUNT(H120:N120)=0,"",AVERAGE(H120:N120))</f>
        <v/>
      </c>
      <c r="R120" s="25">
        <f>IF(COUNT(H120:N120)&lt;2,"",STDEV(H120:N120))</f>
        <v/>
      </c>
      <c r="S120" s="26">
        <f>IF(COUNT(H120:N120)=0,"",COMBIN(COUNT(H120:N120),COUNTIF(H120:N120,"&gt;=3"))*0.5^COUNT(H120:N120))</f>
        <v/>
      </c>
      <c r="T120" s="25">
        <f>IFERROR(IF(P120="","",(P120-S120)/(1-S120)),"")</f>
        <v/>
      </c>
      <c r="U120" s="27">
        <f>IF(P120="","Awaiting",IF(P120&gt;=CVI_PASS,"PASS",IF(P120&gt;=CVI_BORDER,"BORDERLINE","FAIL")))</f>
        <v/>
      </c>
    </row>
    <row r="121">
      <c r="A121" s="9" t="inlineStr">
        <is>
          <t>L056</t>
        </is>
      </c>
      <c r="B121" s="17" t="inlineStr">
        <is>
          <t>Lesson Sentence</t>
        </is>
      </c>
      <c r="C121" s="18" t="inlineStr">
        <is>
          <t>ई बाँस कय रस्सी आय।</t>
        </is>
      </c>
      <c r="D121" s="19" t="inlineStr">
        <is>
          <t>Ee baans kay rassi aay.</t>
        </is>
      </c>
      <c r="E121" s="20" t="inlineStr">
        <is>
          <t>This is a bamboo rope.</t>
        </is>
      </c>
      <c r="F121" s="17" t="inlineStr">
        <is>
          <t>Advanced Sentences</t>
        </is>
      </c>
      <c r="G121" s="21" t="inlineStr">
        <is>
          <t>Unit 6: Advanced Sentences / Narrative Style</t>
        </is>
      </c>
      <c r="H121" s="22" t="inlineStr"/>
      <c r="I121" s="22" t="inlineStr"/>
      <c r="J121" s="22" t="inlineStr"/>
      <c r="K121" s="22" t="inlineStr"/>
      <c r="L121" s="22" t="inlineStr"/>
      <c r="M121" s="22" t="inlineStr"/>
      <c r="N121" s="22" t="inlineStr"/>
      <c r="O121" s="23">
        <f>COUNTIF(H121:N121,"&gt;=3")</f>
        <v/>
      </c>
      <c r="P121" s="24">
        <f>IF(COUNT(H121:N121)=0,"",COUNTIF(H121:N121,"&gt;=3")/COUNT(H121:N121))</f>
        <v/>
      </c>
      <c r="Q121" s="25">
        <f>IF(COUNT(H121:N121)=0,"",AVERAGE(H121:N121))</f>
        <v/>
      </c>
      <c r="R121" s="25">
        <f>IF(COUNT(H121:N121)&lt;2,"",STDEV(H121:N121))</f>
        <v/>
      </c>
      <c r="S121" s="26">
        <f>IF(COUNT(H121:N121)=0,"",COMBIN(COUNT(H121:N121),COUNTIF(H121:N121,"&gt;=3"))*0.5^COUNT(H121:N121))</f>
        <v/>
      </c>
      <c r="T121" s="25">
        <f>IFERROR(IF(P121="","",(P121-S121)/(1-S121)),"")</f>
        <v/>
      </c>
      <c r="U121" s="27">
        <f>IF(P121="","Awaiting",IF(P121&gt;=CVI_PASS,"PASS",IF(P121&gt;=CVI_BORDER,"BORDERLINE","FAIL")))</f>
        <v/>
      </c>
    </row>
    <row r="122">
      <c r="A122" s="9" t="inlineStr">
        <is>
          <t>L057</t>
        </is>
      </c>
      <c r="B122" s="17" t="inlineStr">
        <is>
          <t>Lesson Sentence</t>
        </is>
      </c>
      <c r="C122" s="18" t="inlineStr">
        <is>
          <t>हमरे घरे मा ढेर पेड अहय।</t>
        </is>
      </c>
      <c r="D122" s="19" t="inlineStr">
        <is>
          <t>Hamare ghare ma dher ped ahay.</t>
        </is>
      </c>
      <c r="E122" s="20" t="inlineStr">
        <is>
          <t>There are many trees at our home.</t>
        </is>
      </c>
      <c r="F122" s="17" t="inlineStr">
        <is>
          <t>Advanced Sentences</t>
        </is>
      </c>
      <c r="G122" s="21" t="inlineStr">
        <is>
          <t>Unit 6: Advanced Sentences / Narrative Style</t>
        </is>
      </c>
      <c r="H122" s="22" t="inlineStr"/>
      <c r="I122" s="22" t="inlineStr"/>
      <c r="J122" s="22" t="inlineStr"/>
      <c r="K122" s="22" t="inlineStr"/>
      <c r="L122" s="22" t="inlineStr"/>
      <c r="M122" s="22" t="inlineStr"/>
      <c r="N122" s="22" t="inlineStr"/>
      <c r="O122" s="23">
        <f>COUNTIF(H122:N122,"&gt;=3")</f>
        <v/>
      </c>
      <c r="P122" s="24">
        <f>IF(COUNT(H122:N122)=0,"",COUNTIF(H122:N122,"&gt;=3")/COUNT(H122:N122))</f>
        <v/>
      </c>
      <c r="Q122" s="25">
        <f>IF(COUNT(H122:N122)=0,"",AVERAGE(H122:N122))</f>
        <v/>
      </c>
      <c r="R122" s="25">
        <f>IF(COUNT(H122:N122)&lt;2,"",STDEV(H122:N122))</f>
        <v/>
      </c>
      <c r="S122" s="26">
        <f>IF(COUNT(H122:N122)=0,"",COMBIN(COUNT(H122:N122),COUNTIF(H122:N122,"&gt;=3"))*0.5^COUNT(H122:N122))</f>
        <v/>
      </c>
      <c r="T122" s="25">
        <f>IFERROR(IF(P122="","",(P122-S122)/(1-S122)),"")</f>
        <v/>
      </c>
      <c r="U122" s="27">
        <f>IF(P122="","Awaiting",IF(P122&gt;=CVI_PASS,"PASS",IF(P122&gt;=CVI_BORDER,"BORDERLINE","FAIL")))</f>
        <v/>
      </c>
    </row>
    <row r="123">
      <c r="A123" s="9" t="inlineStr">
        <is>
          <t>L058</t>
        </is>
      </c>
      <c r="B123" s="17" t="inlineStr">
        <is>
          <t>Lesson Sentence</t>
        </is>
      </c>
      <c r="C123" s="18" t="inlineStr">
        <is>
          <t>वे हमका फ़ोन केहें।</t>
        </is>
      </c>
      <c r="D123" s="19" t="inlineStr">
        <is>
          <t>Ve humka phone kehen.</t>
        </is>
      </c>
      <c r="E123" s="20" t="inlineStr">
        <is>
          <t>They called me on the phone.</t>
        </is>
      </c>
      <c r="F123" s="17" t="inlineStr">
        <is>
          <t>Advanced Sentences</t>
        </is>
      </c>
      <c r="G123" s="21" t="inlineStr">
        <is>
          <t>Unit 6: Advanced Sentences / Narrative Style</t>
        </is>
      </c>
      <c r="H123" s="22" t="inlineStr"/>
      <c r="I123" s="22" t="inlineStr"/>
      <c r="J123" s="22" t="inlineStr"/>
      <c r="K123" s="22" t="inlineStr"/>
      <c r="L123" s="22" t="inlineStr"/>
      <c r="M123" s="22" t="inlineStr"/>
      <c r="N123" s="22" t="inlineStr"/>
      <c r="O123" s="23">
        <f>COUNTIF(H123:N123,"&gt;=3")</f>
        <v/>
      </c>
      <c r="P123" s="24">
        <f>IF(COUNT(H123:N123)=0,"",COUNTIF(H123:N123,"&gt;=3")/COUNT(H123:N123))</f>
        <v/>
      </c>
      <c r="Q123" s="25">
        <f>IF(COUNT(H123:N123)=0,"",AVERAGE(H123:N123))</f>
        <v/>
      </c>
      <c r="R123" s="25">
        <f>IF(COUNT(H123:N123)&lt;2,"",STDEV(H123:N123))</f>
        <v/>
      </c>
      <c r="S123" s="26">
        <f>IF(COUNT(H123:N123)=0,"",COMBIN(COUNT(H123:N123),COUNTIF(H123:N123,"&gt;=3"))*0.5^COUNT(H123:N123))</f>
        <v/>
      </c>
      <c r="T123" s="25">
        <f>IFERROR(IF(P123="","",(P123-S123)/(1-S123)),"")</f>
        <v/>
      </c>
      <c r="U123" s="27">
        <f>IF(P123="","Awaiting",IF(P123&gt;=CVI_PASS,"PASS",IF(P123&gt;=CVI_BORDER,"BORDERLINE","FAIL")))</f>
        <v/>
      </c>
    </row>
    <row r="124">
      <c r="A124" s="9" t="inlineStr">
        <is>
          <t>L059</t>
        </is>
      </c>
      <c r="B124" s="17" t="inlineStr">
        <is>
          <t>Lesson Sentence</t>
        </is>
      </c>
      <c r="C124" s="18" t="inlineStr">
        <is>
          <t>राधा अपने खातिर एक साडी खरीदी।</t>
        </is>
      </c>
      <c r="D124" s="19" t="inlineStr">
        <is>
          <t>Radha apne khaatir ek saadi kharidi.</t>
        </is>
      </c>
      <c r="E124" s="20" t="inlineStr">
        <is>
          <t>Radha bought a saree for herself.</t>
        </is>
      </c>
      <c r="F124" s="17" t="inlineStr">
        <is>
          <t>Advanced Sentences</t>
        </is>
      </c>
      <c r="G124" s="21" t="inlineStr">
        <is>
          <t>Unit 6: Advanced Sentences / Narrative Style</t>
        </is>
      </c>
      <c r="H124" s="22" t="inlineStr"/>
      <c r="I124" s="22" t="inlineStr"/>
      <c r="J124" s="22" t="inlineStr"/>
      <c r="K124" s="22" t="inlineStr"/>
      <c r="L124" s="22" t="inlineStr"/>
      <c r="M124" s="22" t="inlineStr"/>
      <c r="N124" s="22" t="inlineStr"/>
      <c r="O124" s="23">
        <f>COUNTIF(H124:N124,"&gt;=3")</f>
        <v/>
      </c>
      <c r="P124" s="24">
        <f>IF(COUNT(H124:N124)=0,"",COUNTIF(H124:N124,"&gt;=3")/COUNT(H124:N124))</f>
        <v/>
      </c>
      <c r="Q124" s="25">
        <f>IF(COUNT(H124:N124)=0,"",AVERAGE(H124:N124))</f>
        <v/>
      </c>
      <c r="R124" s="25">
        <f>IF(COUNT(H124:N124)&lt;2,"",STDEV(H124:N124))</f>
        <v/>
      </c>
      <c r="S124" s="26">
        <f>IF(COUNT(H124:N124)=0,"",COMBIN(COUNT(H124:N124),COUNTIF(H124:N124,"&gt;=3"))*0.5^COUNT(H124:N124))</f>
        <v/>
      </c>
      <c r="T124" s="25">
        <f>IFERROR(IF(P124="","",(P124-S124)/(1-S124)),"")</f>
        <v/>
      </c>
      <c r="U124" s="27">
        <f>IF(P124="","Awaiting",IF(P124&gt;=CVI_PASS,"PASS",IF(P124&gt;=CVI_BORDER,"BORDERLINE","FAIL")))</f>
        <v/>
      </c>
    </row>
    <row r="125">
      <c r="A125" s="9" t="inlineStr">
        <is>
          <t>Q001</t>
        </is>
      </c>
      <c r="B125" s="17" t="inlineStr">
        <is>
          <t>Quiz Item</t>
        </is>
      </c>
      <c r="C125" s="18" t="inlineStr">
        <is>
          <t>घर</t>
        </is>
      </c>
      <c r="D125" s="19" t="inlineStr">
        <is>
          <t>Ghar</t>
        </is>
      </c>
      <c r="E125" s="20" t="inlineStr">
        <is>
          <t>House / Home</t>
        </is>
      </c>
      <c r="F125" s="17" t="inlineStr">
        <is>
          <t>Vocabulary / Translate the Word</t>
        </is>
      </c>
      <c r="G125" s="21" t="inlineStr">
        <is>
          <t>Prompt: What does this Awadhi word mean? | Options: School / House / Home / Village / River</t>
        </is>
      </c>
      <c r="H125" s="22" t="inlineStr"/>
      <c r="I125" s="22" t="inlineStr"/>
      <c r="J125" s="22" t="inlineStr"/>
      <c r="K125" s="22" t="inlineStr"/>
      <c r="L125" s="22" t="inlineStr"/>
      <c r="M125" s="22" t="inlineStr"/>
      <c r="N125" s="22" t="inlineStr"/>
      <c r="O125" s="23">
        <f>COUNTIF(H125:N125,"&gt;=3")</f>
        <v/>
      </c>
      <c r="P125" s="24">
        <f>IF(COUNT(H125:N125)=0,"",COUNTIF(H125:N125,"&gt;=3")/COUNT(H125:N125))</f>
        <v/>
      </c>
      <c r="Q125" s="25">
        <f>IF(COUNT(H125:N125)=0,"",AVERAGE(H125:N125))</f>
        <v/>
      </c>
      <c r="R125" s="25">
        <f>IF(COUNT(H125:N125)&lt;2,"",STDEV(H125:N125))</f>
        <v/>
      </c>
      <c r="S125" s="26">
        <f>IF(COUNT(H125:N125)=0,"",COMBIN(COUNT(H125:N125),COUNTIF(H125:N125,"&gt;=3"))*0.5^COUNT(H125:N125))</f>
        <v/>
      </c>
      <c r="T125" s="25">
        <f>IFERROR(IF(P125="","",(P125-S125)/(1-S125)),"")</f>
        <v/>
      </c>
      <c r="U125" s="27">
        <f>IF(P125="","Awaiting",IF(P125&gt;=CVI_PASS,"PASS",IF(P125&gt;=CVI_BORDER,"BORDERLINE","FAIL")))</f>
        <v/>
      </c>
    </row>
    <row r="126">
      <c r="A126" s="9" t="inlineStr">
        <is>
          <t>Q002</t>
        </is>
      </c>
      <c r="B126" s="17" t="inlineStr">
        <is>
          <t>Quiz Item</t>
        </is>
      </c>
      <c r="C126" s="18" t="inlineStr">
        <is>
          <t>भात</t>
        </is>
      </c>
      <c r="D126" s="19" t="inlineStr">
        <is>
          <t>Bhaat</t>
        </is>
      </c>
      <c r="E126" s="20" t="inlineStr">
        <is>
          <t>Cooked Rice</t>
        </is>
      </c>
      <c r="F126" s="17" t="inlineStr">
        <is>
          <t>Vocabulary / Translate the Word</t>
        </is>
      </c>
      <c r="G126" s="21" t="inlineStr">
        <is>
          <t>Prompt: What does this Awadhi word mean? | Options: Bread / Lentils / Cooked Rice / Vegetables</t>
        </is>
      </c>
      <c r="H126" s="22" t="inlineStr"/>
      <c r="I126" s="22" t="inlineStr"/>
      <c r="J126" s="22" t="inlineStr"/>
      <c r="K126" s="22" t="inlineStr"/>
      <c r="L126" s="22" t="inlineStr"/>
      <c r="M126" s="22" t="inlineStr"/>
      <c r="N126" s="22" t="inlineStr"/>
      <c r="O126" s="23">
        <f>COUNTIF(H126:N126,"&gt;=3")</f>
        <v/>
      </c>
      <c r="P126" s="24">
        <f>IF(COUNT(H126:N126)=0,"",COUNTIF(H126:N126,"&gt;=3")/COUNT(H126:N126))</f>
        <v/>
      </c>
      <c r="Q126" s="25">
        <f>IF(COUNT(H126:N126)=0,"",AVERAGE(H126:N126))</f>
        <v/>
      </c>
      <c r="R126" s="25">
        <f>IF(COUNT(H126:N126)&lt;2,"",STDEV(H126:N126))</f>
        <v/>
      </c>
      <c r="S126" s="26">
        <f>IF(COUNT(H126:N126)=0,"",COMBIN(COUNT(H126:N126),COUNTIF(H126:N126,"&gt;=3"))*0.5^COUNT(H126:N126))</f>
        <v/>
      </c>
      <c r="T126" s="25">
        <f>IFERROR(IF(P126="","",(P126-S126)/(1-S126)),"")</f>
        <v/>
      </c>
      <c r="U126" s="27">
        <f>IF(P126="","Awaiting",IF(P126&gt;=CVI_PASS,"PASS",IF(P126&gt;=CVI_BORDER,"BORDERLINE","FAIL")))</f>
        <v/>
      </c>
    </row>
    <row r="127">
      <c r="A127" s="9" t="inlineStr">
        <is>
          <t>Q003</t>
        </is>
      </c>
      <c r="B127" s="17" t="inlineStr">
        <is>
          <t>Quiz Item</t>
        </is>
      </c>
      <c r="C127" s="18" t="inlineStr">
        <is>
          <t>बहिन</t>
        </is>
      </c>
      <c r="D127" s="19" t="inlineStr">
        <is>
          <t>Bahin</t>
        </is>
      </c>
      <c r="E127" s="20" t="inlineStr">
        <is>
          <t>Sister</t>
        </is>
      </c>
      <c r="F127" s="17" t="inlineStr">
        <is>
          <t>Vocabulary / Translate the Word</t>
        </is>
      </c>
      <c r="G127" s="21" t="inlineStr">
        <is>
          <t>Prompt: What does this Awadhi word mean? | Options: Mother / Daughter / Friend / Sister</t>
        </is>
      </c>
      <c r="H127" s="22" t="inlineStr"/>
      <c r="I127" s="22" t="inlineStr"/>
      <c r="J127" s="22" t="inlineStr"/>
      <c r="K127" s="22" t="inlineStr"/>
      <c r="L127" s="22" t="inlineStr"/>
      <c r="M127" s="22" t="inlineStr"/>
      <c r="N127" s="22" t="inlineStr"/>
      <c r="O127" s="23">
        <f>COUNTIF(H127:N127,"&gt;=3")</f>
        <v/>
      </c>
      <c r="P127" s="24">
        <f>IF(COUNT(H127:N127)=0,"",COUNTIF(H127:N127,"&gt;=3")/COUNT(H127:N127))</f>
        <v/>
      </c>
      <c r="Q127" s="25">
        <f>IF(COUNT(H127:N127)=0,"",AVERAGE(H127:N127))</f>
        <v/>
      </c>
      <c r="R127" s="25">
        <f>IF(COUNT(H127:N127)&lt;2,"",STDEV(H127:N127))</f>
        <v/>
      </c>
      <c r="S127" s="26">
        <f>IF(COUNT(H127:N127)=0,"",COMBIN(COUNT(H127:N127),COUNTIF(H127:N127,"&gt;=3"))*0.5^COUNT(H127:N127))</f>
        <v/>
      </c>
      <c r="T127" s="25">
        <f>IFERROR(IF(P127="","",(P127-S127)/(1-S127)),"")</f>
        <v/>
      </c>
      <c r="U127" s="27">
        <f>IF(P127="","Awaiting",IF(P127&gt;=CVI_PASS,"PASS",IF(P127&gt;=CVI_BORDER,"BORDERLINE","FAIL")))</f>
        <v/>
      </c>
    </row>
    <row r="128">
      <c r="A128" s="9" t="inlineStr">
        <is>
          <t>Q004</t>
        </is>
      </c>
      <c r="B128" s="17" t="inlineStr">
        <is>
          <t>Quiz Item</t>
        </is>
      </c>
      <c r="C128" s="18" t="inlineStr">
        <is>
          <t>पंडित</t>
        </is>
      </c>
      <c r="D128" s="19" t="inlineStr">
        <is>
          <t>Pandit</t>
        </is>
      </c>
      <c r="E128" s="20" t="inlineStr">
        <is>
          <t>Priest / Scholar</t>
        </is>
      </c>
      <c r="F128" s="17" t="inlineStr">
        <is>
          <t>Vocabulary / Translate the Word</t>
        </is>
      </c>
      <c r="G128" s="21" t="inlineStr">
        <is>
          <t>Prompt: What does this Awadhi word mean? | Options: Farmer / Priest / Scholar / Teacher / Doctor</t>
        </is>
      </c>
      <c r="H128" s="22" t="inlineStr"/>
      <c r="I128" s="22" t="inlineStr"/>
      <c r="J128" s="22" t="inlineStr"/>
      <c r="K128" s="22" t="inlineStr"/>
      <c r="L128" s="22" t="inlineStr"/>
      <c r="M128" s="22" t="inlineStr"/>
      <c r="N128" s="22" t="inlineStr"/>
      <c r="O128" s="23">
        <f>COUNTIF(H128:N128,"&gt;=3")</f>
        <v/>
      </c>
      <c r="P128" s="24">
        <f>IF(COUNT(H128:N128)=0,"",COUNTIF(H128:N128,"&gt;=3")/COUNT(H128:N128))</f>
        <v/>
      </c>
      <c r="Q128" s="25">
        <f>IF(COUNT(H128:N128)=0,"",AVERAGE(H128:N128))</f>
        <v/>
      </c>
      <c r="R128" s="25">
        <f>IF(COUNT(H128:N128)&lt;2,"",STDEV(H128:N128))</f>
        <v/>
      </c>
      <c r="S128" s="26">
        <f>IF(COUNT(H128:N128)=0,"",COMBIN(COUNT(H128:N128),COUNTIF(H128:N128,"&gt;=3"))*0.5^COUNT(H128:N128))</f>
        <v/>
      </c>
      <c r="T128" s="25">
        <f>IFERROR(IF(P128="","",(P128-S128)/(1-S128)),"")</f>
        <v/>
      </c>
      <c r="U128" s="27">
        <f>IF(P128="","Awaiting",IF(P128&gt;=CVI_PASS,"PASS",IF(P128&gt;=CVI_BORDER,"BORDERLINE","FAIL")))</f>
        <v/>
      </c>
    </row>
    <row r="129">
      <c r="A129" s="9" t="inlineStr">
        <is>
          <t>Q005</t>
        </is>
      </c>
      <c r="B129" s="17" t="inlineStr">
        <is>
          <t>Quiz Item</t>
        </is>
      </c>
      <c r="C129" s="18" t="inlineStr">
        <is>
          <t>वे रोज स्कूल जा थें।</t>
        </is>
      </c>
      <c r="D129" s="19" t="inlineStr">
        <is>
          <t>Ve roz skool ja then.</t>
        </is>
      </c>
      <c r="E129" s="20" t="inlineStr">
        <is>
          <t>They used to go to school daily.</t>
        </is>
      </c>
      <c r="F129" s="17" t="inlineStr">
        <is>
          <t>Sentence / Translate to English</t>
        </is>
      </c>
      <c r="G129" s="21" t="inlineStr">
        <is>
          <t>Prompt: What does this sentence mean? | Options: They will go to school tomorrow. / They used to go to school daily. / They are going to the school now. / He went to school yesterday.</t>
        </is>
      </c>
      <c r="H129" s="22" t="inlineStr"/>
      <c r="I129" s="22" t="inlineStr"/>
      <c r="J129" s="22" t="inlineStr"/>
      <c r="K129" s="22" t="inlineStr"/>
      <c r="L129" s="22" t="inlineStr"/>
      <c r="M129" s="22" t="inlineStr"/>
      <c r="N129" s="22" t="inlineStr"/>
      <c r="O129" s="23">
        <f>COUNTIF(H129:N129,"&gt;=3")</f>
        <v/>
      </c>
      <c r="P129" s="24">
        <f>IF(COUNT(H129:N129)=0,"",COUNTIF(H129:N129,"&gt;=3")/COUNT(H129:N129))</f>
        <v/>
      </c>
      <c r="Q129" s="25">
        <f>IF(COUNT(H129:N129)=0,"",AVERAGE(H129:N129))</f>
        <v/>
      </c>
      <c r="R129" s="25">
        <f>IF(COUNT(H129:N129)&lt;2,"",STDEV(H129:N129))</f>
        <v/>
      </c>
      <c r="S129" s="26">
        <f>IF(COUNT(H129:N129)=0,"",COMBIN(COUNT(H129:N129),COUNTIF(H129:N129,"&gt;=3"))*0.5^COUNT(H129:N129))</f>
        <v/>
      </c>
      <c r="T129" s="25">
        <f>IFERROR(IF(P129="","",(P129-S129)/(1-S129)),"")</f>
        <v/>
      </c>
      <c r="U129" s="27">
        <f>IF(P129="","Awaiting",IF(P129&gt;=CVI_PASS,"PASS",IF(P129&gt;=CVI_BORDER,"BORDERLINE","FAIL")))</f>
        <v/>
      </c>
    </row>
    <row r="130">
      <c r="A130" s="9" t="inlineStr">
        <is>
          <t>Q006</t>
        </is>
      </c>
      <c r="B130" s="17" t="inlineStr">
        <is>
          <t>Quiz Item</t>
        </is>
      </c>
      <c r="C130" s="18" t="inlineStr">
        <is>
          <t>हमरे पास पैसा नाय ना।</t>
        </is>
      </c>
      <c r="D130" s="19" t="inlineStr">
        <is>
          <t>Hamare paas paisa naay na.</t>
        </is>
      </c>
      <c r="E130" s="20" t="inlineStr">
        <is>
          <t>We don't have money.</t>
        </is>
      </c>
      <c r="F130" s="17" t="inlineStr">
        <is>
          <t>Sentence / Translate to English</t>
        </is>
      </c>
      <c r="G130" s="21" t="inlineStr">
        <is>
          <t>Prompt: What does this sentence mean? | Options: Do we have money? / They have a lot of money. / We don't have money. / I need some money.</t>
        </is>
      </c>
      <c r="H130" s="22" t="inlineStr"/>
      <c r="I130" s="22" t="inlineStr"/>
      <c r="J130" s="22" t="inlineStr"/>
      <c r="K130" s="22" t="inlineStr"/>
      <c r="L130" s="22" t="inlineStr"/>
      <c r="M130" s="22" t="inlineStr"/>
      <c r="N130" s="22" t="inlineStr"/>
      <c r="O130" s="23">
        <f>COUNTIF(H130:N130,"&gt;=3")</f>
        <v/>
      </c>
      <c r="P130" s="24">
        <f>IF(COUNT(H130:N130)=0,"",COUNTIF(H130:N130,"&gt;=3")/COUNT(H130:N130))</f>
        <v/>
      </c>
      <c r="Q130" s="25">
        <f>IF(COUNT(H130:N130)=0,"",AVERAGE(H130:N130))</f>
        <v/>
      </c>
      <c r="R130" s="25">
        <f>IF(COUNT(H130:N130)&lt;2,"",STDEV(H130:N130))</f>
        <v/>
      </c>
      <c r="S130" s="26">
        <f>IF(COUNT(H130:N130)=0,"",COMBIN(COUNT(H130:N130),COUNTIF(H130:N130,"&gt;=3"))*0.5^COUNT(H130:N130))</f>
        <v/>
      </c>
      <c r="T130" s="25">
        <f>IFERROR(IF(P130="","",(P130-S130)/(1-S130)),"")</f>
        <v/>
      </c>
      <c r="U130" s="27">
        <f>IF(P130="","Awaiting",IF(P130&gt;=CVI_PASS,"PASS",IF(P130&gt;=CVI_BORDER,"BORDERLINE","FAIL")))</f>
        <v/>
      </c>
    </row>
    <row r="131">
      <c r="A131" s="9" t="inlineStr">
        <is>
          <t>Q007</t>
        </is>
      </c>
      <c r="B131" s="17" t="inlineStr">
        <is>
          <t>Quiz Item</t>
        </is>
      </c>
      <c r="C131" s="18" t="inlineStr">
        <is>
          <t>गाँव कय ई सबसे पुरान पेड आय।</t>
        </is>
      </c>
      <c r="D131" s="19" t="inlineStr">
        <is>
          <t>Gaav kay ee sabse puraan ped aay.</t>
        </is>
      </c>
      <c r="E131" s="20" t="inlineStr">
        <is>
          <t>This is the oldest tree in the village.</t>
        </is>
      </c>
      <c r="F131" s="17" t="inlineStr">
        <is>
          <t>Sentence / Translate to English</t>
        </is>
      </c>
      <c r="G131" s="21" t="inlineStr">
        <is>
          <t>Prompt: What does this sentence mean? | Options: The village has no trees. / Plant a new tree in the village. / This is the tallest tree in the village. / This is the oldest tree in the village.</t>
        </is>
      </c>
      <c r="H131" s="22" t="inlineStr"/>
      <c r="I131" s="22" t="inlineStr"/>
      <c r="J131" s="22" t="inlineStr"/>
      <c r="K131" s="22" t="inlineStr"/>
      <c r="L131" s="22" t="inlineStr"/>
      <c r="M131" s="22" t="inlineStr"/>
      <c r="N131" s="22" t="inlineStr"/>
      <c r="O131" s="23">
        <f>COUNTIF(H131:N131,"&gt;=3")</f>
        <v/>
      </c>
      <c r="P131" s="24">
        <f>IF(COUNT(H131:N131)=0,"",COUNTIF(H131:N131,"&gt;=3")/COUNT(H131:N131))</f>
        <v/>
      </c>
      <c r="Q131" s="25">
        <f>IF(COUNT(H131:N131)=0,"",AVERAGE(H131:N131))</f>
        <v/>
      </c>
      <c r="R131" s="25">
        <f>IF(COUNT(H131:N131)&lt;2,"",STDEV(H131:N131))</f>
        <v/>
      </c>
      <c r="S131" s="26">
        <f>IF(COUNT(H131:N131)=0,"",COMBIN(COUNT(H131:N131),COUNTIF(H131:N131,"&gt;=3"))*0.5^COUNT(H131:N131))</f>
        <v/>
      </c>
      <c r="T131" s="25">
        <f>IFERROR(IF(P131="","",(P131-S131)/(1-S131)),"")</f>
        <v/>
      </c>
      <c r="U131" s="27">
        <f>IF(P131="","Awaiting",IF(P131&gt;=CVI_PASS,"PASS",IF(P131&gt;=CVI_BORDER,"BORDERLINE","FAIL")))</f>
        <v/>
      </c>
    </row>
    <row r="132">
      <c r="A132" s="9" t="inlineStr">
        <is>
          <t>Q008</t>
        </is>
      </c>
      <c r="B132" s="17" t="inlineStr">
        <is>
          <t>Quiz Item</t>
        </is>
      </c>
      <c r="C132" s="18" t="inlineStr">
        <is>
          <t>वे कपडा धोवत रही।</t>
        </is>
      </c>
      <c r="D132" s="19" t="inlineStr">
        <is>
          <t>Ve kapda dhovat rahi.</t>
        </is>
      </c>
      <c r="E132" s="20" t="inlineStr">
        <is>
          <t>She was washing clothes.</t>
        </is>
      </c>
      <c r="F132" s="17" t="inlineStr">
        <is>
          <t>Sentence / Translate to English</t>
        </is>
      </c>
      <c r="G132" s="21" t="inlineStr">
        <is>
          <t>Prompt: What does this sentence mean? | Options: She was washing clothes. / She bought new clothes. / They are drying clothes. / She stitched the cloth.</t>
        </is>
      </c>
      <c r="H132" s="22" t="inlineStr"/>
      <c r="I132" s="22" t="inlineStr"/>
      <c r="J132" s="22" t="inlineStr"/>
      <c r="K132" s="22" t="inlineStr"/>
      <c r="L132" s="22" t="inlineStr"/>
      <c r="M132" s="22" t="inlineStr"/>
      <c r="N132" s="22" t="inlineStr"/>
      <c r="O132" s="23">
        <f>COUNTIF(H132:N132,"&gt;=3")</f>
        <v/>
      </c>
      <c r="P132" s="24">
        <f>IF(COUNT(H132:N132)=0,"",COUNTIF(H132:N132,"&gt;=3")/COUNT(H132:N132))</f>
        <v/>
      </c>
      <c r="Q132" s="25">
        <f>IF(COUNT(H132:N132)=0,"",AVERAGE(H132:N132))</f>
        <v/>
      </c>
      <c r="R132" s="25">
        <f>IF(COUNT(H132:N132)&lt;2,"",STDEV(H132:N132))</f>
        <v/>
      </c>
      <c r="S132" s="26">
        <f>IF(COUNT(H132:N132)=0,"",COMBIN(COUNT(H132:N132),COUNTIF(H132:N132,"&gt;=3"))*0.5^COUNT(H132:N132))</f>
        <v/>
      </c>
      <c r="T132" s="25">
        <f>IFERROR(IF(P132="","",(P132-S132)/(1-S132)),"")</f>
        <v/>
      </c>
      <c r="U132" s="27">
        <f>IF(P132="","Awaiting",IF(P132&gt;=CVI_PASS,"PASS",IF(P132&gt;=CVI_BORDER,"BORDERLINE","FAIL")))</f>
        <v/>
      </c>
    </row>
    <row r="133">
      <c r="A133" s="9" t="inlineStr">
        <is>
          <t>Q009</t>
        </is>
      </c>
      <c r="B133" s="17" t="inlineStr">
        <is>
          <t>Quiz Item</t>
        </is>
      </c>
      <c r="C133" s="18" t="inlineStr">
        <is>
          <t>बिआह</t>
        </is>
      </c>
      <c r="D133" s="19" t="inlineStr">
        <is>
          <t>Biaah</t>
        </is>
      </c>
      <c r="E133" s="20" t="inlineStr">
        <is>
          <t>Wedding / Marriage</t>
        </is>
      </c>
      <c r="F133" s="17" t="inlineStr">
        <is>
          <t>Vocabulary / Translate the Word</t>
        </is>
      </c>
      <c r="G133" s="21" t="inlineStr">
        <is>
          <t>Prompt: What does this Awadhi word mean? | Options: Festival / Birth Ceremony / Wedding / Marriage / Funeral</t>
        </is>
      </c>
      <c r="H133" s="22" t="inlineStr"/>
      <c r="I133" s="22" t="inlineStr"/>
      <c r="J133" s="22" t="inlineStr"/>
      <c r="K133" s="22" t="inlineStr"/>
      <c r="L133" s="22" t="inlineStr"/>
      <c r="M133" s="22" t="inlineStr"/>
      <c r="N133" s="22" t="inlineStr"/>
      <c r="O133" s="23">
        <f>COUNTIF(H133:N133,"&gt;=3")</f>
        <v/>
      </c>
      <c r="P133" s="24">
        <f>IF(COUNT(H133:N133)=0,"",COUNTIF(H133:N133,"&gt;=3")/COUNT(H133:N133))</f>
        <v/>
      </c>
      <c r="Q133" s="25">
        <f>IF(COUNT(H133:N133)=0,"",AVERAGE(H133:N133))</f>
        <v/>
      </c>
      <c r="R133" s="25">
        <f>IF(COUNT(H133:N133)&lt;2,"",STDEV(H133:N133))</f>
        <v/>
      </c>
      <c r="S133" s="26">
        <f>IF(COUNT(H133:N133)=0,"",COMBIN(COUNT(H133:N133),COUNTIF(H133:N133,"&gt;=3"))*0.5^COUNT(H133:N133))</f>
        <v/>
      </c>
      <c r="T133" s="25">
        <f>IFERROR(IF(P133="","",(P133-S133)/(1-S133)),"")</f>
        <v/>
      </c>
      <c r="U133" s="27">
        <f>IF(P133="","Awaiting",IF(P133&gt;=CVI_PASS,"PASS",IF(P133&gt;=CVI_BORDER,"BORDERLINE","FAIL")))</f>
        <v/>
      </c>
    </row>
    <row r="134">
      <c r="A134" s="9" t="inlineStr">
        <is>
          <t>Q010</t>
        </is>
      </c>
      <c r="B134" s="17" t="inlineStr">
        <is>
          <t>Quiz Item</t>
        </is>
      </c>
      <c r="C134" s="18" t="inlineStr">
        <is>
          <t>हम अउर हमाय भाय साथ मा खेलब।</t>
        </is>
      </c>
      <c r="D134" s="19" t="inlineStr">
        <is>
          <t>Hum aur humay bhaay saath ma khelab.</t>
        </is>
      </c>
      <c r="E134" s="20" t="inlineStr">
        <is>
          <t>I will play with my brother.</t>
        </is>
      </c>
      <c r="F134" s="17" t="inlineStr">
        <is>
          <t>Sentence / Translate to English</t>
        </is>
      </c>
      <c r="G134" s="21" t="inlineStr">
        <is>
          <t>Prompt: What does this sentence mean? | Options: My brother plays alone. / I will play with my brother. / We watched our brother play. / I and my friend will fight.</t>
        </is>
      </c>
      <c r="H134" s="22" t="inlineStr"/>
      <c r="I134" s="22" t="inlineStr"/>
      <c r="J134" s="22" t="inlineStr"/>
      <c r="K134" s="22" t="inlineStr"/>
      <c r="L134" s="22" t="inlineStr"/>
      <c r="M134" s="22" t="inlineStr"/>
      <c r="N134" s="22" t="inlineStr"/>
      <c r="O134" s="23">
        <f>COUNTIF(H134:N134,"&gt;=3")</f>
        <v/>
      </c>
      <c r="P134" s="24">
        <f>IF(COUNT(H134:N134)=0,"",COUNTIF(H134:N134,"&gt;=3")/COUNT(H134:N134))</f>
        <v/>
      </c>
      <c r="Q134" s="25">
        <f>IF(COUNT(H134:N134)=0,"",AVERAGE(H134:N134))</f>
        <v/>
      </c>
      <c r="R134" s="25">
        <f>IF(COUNT(H134:N134)&lt;2,"",STDEV(H134:N134))</f>
        <v/>
      </c>
      <c r="S134" s="26">
        <f>IF(COUNT(H134:N134)=0,"",COMBIN(COUNT(H134:N134),COUNTIF(H134:N134,"&gt;=3"))*0.5^COUNT(H134:N134))</f>
        <v/>
      </c>
      <c r="T134" s="25">
        <f>IFERROR(IF(P134="","",(P134-S134)/(1-S134)),"")</f>
        <v/>
      </c>
      <c r="U134" s="27">
        <f>IF(P134="","Awaiting",IF(P134&gt;=CVI_PASS,"PASS",IF(P134&gt;=CVI_BORDER,"BORDERLINE","FAIL")))</f>
        <v/>
      </c>
    </row>
    <row r="135">
      <c r="A135" s="9" t="inlineStr">
        <is>
          <t>Q011</t>
        </is>
      </c>
      <c r="B135" s="17" t="inlineStr">
        <is>
          <t>Quiz Item</t>
        </is>
      </c>
      <c r="C135" s="18" t="inlineStr">
        <is>
          <t>नामकरन</t>
        </is>
      </c>
      <c r="D135" s="19" t="inlineStr">
        <is>
          <t>Naamkaran</t>
        </is>
      </c>
      <c r="E135" s="20" t="inlineStr">
        <is>
          <t>Naming Ceremony</t>
        </is>
      </c>
      <c r="F135" s="17" t="inlineStr">
        <is>
          <t>Vocabulary / Translate the Word</t>
        </is>
      </c>
      <c r="G135" s="21" t="inlineStr">
        <is>
          <t>Prompt: What does this Awadhi word mean? | Options: Death Ritual / Naming Ceremony / Wedding Ritual / Harvest Festival</t>
        </is>
      </c>
      <c r="H135" s="22" t="inlineStr"/>
      <c r="I135" s="22" t="inlineStr"/>
      <c r="J135" s="22" t="inlineStr"/>
      <c r="K135" s="22" t="inlineStr"/>
      <c r="L135" s="22" t="inlineStr"/>
      <c r="M135" s="22" t="inlineStr"/>
      <c r="N135" s="22" t="inlineStr"/>
      <c r="O135" s="23">
        <f>COUNTIF(H135:N135,"&gt;=3")</f>
        <v/>
      </c>
      <c r="P135" s="24">
        <f>IF(COUNT(H135:N135)=0,"",COUNTIF(H135:N135,"&gt;=3")/COUNT(H135:N135))</f>
        <v/>
      </c>
      <c r="Q135" s="25">
        <f>IF(COUNT(H135:N135)=0,"",AVERAGE(H135:N135))</f>
        <v/>
      </c>
      <c r="R135" s="25">
        <f>IF(COUNT(H135:N135)&lt;2,"",STDEV(H135:N135))</f>
        <v/>
      </c>
      <c r="S135" s="26">
        <f>IF(COUNT(H135:N135)=0,"",COMBIN(COUNT(H135:N135),COUNTIF(H135:N135,"&gt;=3"))*0.5^COUNT(H135:N135))</f>
        <v/>
      </c>
      <c r="T135" s="25">
        <f>IFERROR(IF(P135="","",(P135-S135)/(1-S135)),"")</f>
        <v/>
      </c>
      <c r="U135" s="27">
        <f>IF(P135="","Awaiting",IF(P135&gt;=CVI_PASS,"PASS",IF(P135&gt;=CVI_BORDER,"BORDERLINE","FAIL")))</f>
        <v/>
      </c>
    </row>
    <row r="136">
      <c r="A136" s="9" t="inlineStr">
        <is>
          <t>Q012</t>
        </is>
      </c>
      <c r="B136" s="17" t="inlineStr">
        <is>
          <t>Quiz Item</t>
        </is>
      </c>
      <c r="C136" s="18" t="inlineStr">
        <is>
          <t>राधा अपने खातिर एक साडी खरीदी।</t>
        </is>
      </c>
      <c r="D136" s="19" t="inlineStr">
        <is>
          <t>Radha apne khaatir ek saadi kharidi.</t>
        </is>
      </c>
      <c r="E136" s="20" t="inlineStr">
        <is>
          <t>Radha bought a saree for herself.</t>
        </is>
      </c>
      <c r="F136" s="17" t="inlineStr">
        <is>
          <t>Sentence / Translate to English</t>
        </is>
      </c>
      <c r="G136" s="21" t="inlineStr">
        <is>
          <t>Prompt: What does this sentence mean? | Options: Radha gifted a saree to her mother. / Radha bought a saree for herself. / Radha lost her saree. / Radha stitched a saree.</t>
        </is>
      </c>
      <c r="H136" s="22" t="inlineStr"/>
      <c r="I136" s="22" t="inlineStr"/>
      <c r="J136" s="22" t="inlineStr"/>
      <c r="K136" s="22" t="inlineStr"/>
      <c r="L136" s="22" t="inlineStr"/>
      <c r="M136" s="22" t="inlineStr"/>
      <c r="N136" s="22" t="inlineStr"/>
      <c r="O136" s="23">
        <f>COUNTIF(H136:N136,"&gt;=3")</f>
        <v/>
      </c>
      <c r="P136" s="24">
        <f>IF(COUNT(H136:N136)=0,"",COUNTIF(H136:N136,"&gt;=3")/COUNT(H136:N136))</f>
        <v/>
      </c>
      <c r="Q136" s="25">
        <f>IF(COUNT(H136:N136)=0,"",AVERAGE(H136:N136))</f>
        <v/>
      </c>
      <c r="R136" s="25">
        <f>IF(COUNT(H136:N136)&lt;2,"",STDEV(H136:N136))</f>
        <v/>
      </c>
      <c r="S136" s="26">
        <f>IF(COUNT(H136:N136)=0,"",COMBIN(COUNT(H136:N136),COUNTIF(H136:N136,"&gt;=3"))*0.5^COUNT(H136:N136))</f>
        <v/>
      </c>
      <c r="T136" s="25">
        <f>IFERROR(IF(P136="","",(P136-S136)/(1-S136)),"")</f>
        <v/>
      </c>
      <c r="U136" s="27">
        <f>IF(P136="","Awaiting",IF(P136&gt;=CVI_PASS,"PASS",IF(P136&gt;=CVI_BORDER,"BORDERLINE","FAIL")))</f>
        <v/>
      </c>
    </row>
    <row r="137">
      <c r="A137" s="9" t="inlineStr">
        <is>
          <t>Q013</t>
        </is>
      </c>
      <c r="B137" s="17" t="inlineStr">
        <is>
          <t>Quiz Item</t>
        </is>
      </c>
      <c r="C137" s="18" t="inlineStr">
        <is>
          <t>महतारी</t>
        </is>
      </c>
      <c r="D137" s="19" t="inlineStr">
        <is>
          <t>Mahtari</t>
        </is>
      </c>
      <c r="E137" s="20" t="inlineStr">
        <is>
          <t>Mother</t>
        </is>
      </c>
      <c r="F137" s="17" t="inlineStr">
        <is>
          <t>Vocabulary / Translate the Word</t>
        </is>
      </c>
      <c r="G137" s="21" t="inlineStr">
        <is>
          <t>Prompt: What does this Awadhi word mean? | Options: Father / Grandmother / Mother / Elder Sister</t>
        </is>
      </c>
      <c r="H137" s="22" t="inlineStr"/>
      <c r="I137" s="22" t="inlineStr"/>
      <c r="J137" s="22" t="inlineStr"/>
      <c r="K137" s="22" t="inlineStr"/>
      <c r="L137" s="22" t="inlineStr"/>
      <c r="M137" s="22" t="inlineStr"/>
      <c r="N137" s="22" t="inlineStr"/>
      <c r="O137" s="23">
        <f>COUNTIF(H137:N137,"&gt;=3")</f>
        <v/>
      </c>
      <c r="P137" s="24">
        <f>IF(COUNT(H137:N137)=0,"",COUNTIF(H137:N137,"&gt;=3")/COUNT(H137:N137))</f>
        <v/>
      </c>
      <c r="Q137" s="25">
        <f>IF(COUNT(H137:N137)=0,"",AVERAGE(H137:N137))</f>
        <v/>
      </c>
      <c r="R137" s="25">
        <f>IF(COUNT(H137:N137)&lt;2,"",STDEV(H137:N137))</f>
        <v/>
      </c>
      <c r="S137" s="26">
        <f>IF(COUNT(H137:N137)=0,"",COMBIN(COUNT(H137:N137),COUNTIF(H137:N137,"&gt;=3"))*0.5^COUNT(H137:N137))</f>
        <v/>
      </c>
      <c r="T137" s="25">
        <f>IFERROR(IF(P137="","",(P137-S137)/(1-S137)),"")</f>
        <v/>
      </c>
      <c r="U137" s="27">
        <f>IF(P137="","Awaiting",IF(P137&gt;=CVI_PASS,"PASS",IF(P137&gt;=CVI_BORDER,"BORDERLINE","FAIL")))</f>
        <v/>
      </c>
    </row>
    <row r="138">
      <c r="A138" s="9" t="inlineStr">
        <is>
          <t>Q014</t>
        </is>
      </c>
      <c r="B138" s="17" t="inlineStr">
        <is>
          <t>Quiz Item</t>
        </is>
      </c>
      <c r="C138" s="18" t="inlineStr">
        <is>
          <t>टैंक मा पानी नाही बाटय।</t>
        </is>
      </c>
      <c r="D138" s="19" t="inlineStr">
        <is>
          <t>Tank ma paani naahi baatay.</t>
        </is>
      </c>
      <c r="E138" s="20" t="inlineStr">
        <is>
          <t>There is no water in the tank.</t>
        </is>
      </c>
      <c r="F138" s="17" t="inlineStr">
        <is>
          <t>Sentence / Translate to English</t>
        </is>
      </c>
      <c r="G138" s="21" t="inlineStr">
        <is>
          <t>Prompt: What does this sentence mean? | Options: The tank is overflowing. / Fill water in the tank. / There is no water in the tank. / The water tank is very big.</t>
        </is>
      </c>
      <c r="H138" s="22" t="inlineStr"/>
      <c r="I138" s="22" t="inlineStr"/>
      <c r="J138" s="22" t="inlineStr"/>
      <c r="K138" s="22" t="inlineStr"/>
      <c r="L138" s="22" t="inlineStr"/>
      <c r="M138" s="22" t="inlineStr"/>
      <c r="N138" s="22" t="inlineStr"/>
      <c r="O138" s="23">
        <f>COUNTIF(H138:N138,"&gt;=3")</f>
        <v/>
      </c>
      <c r="P138" s="24">
        <f>IF(COUNT(H138:N138)=0,"",COUNTIF(H138:N138,"&gt;=3")/COUNT(H138:N138))</f>
        <v/>
      </c>
      <c r="Q138" s="25">
        <f>IF(COUNT(H138:N138)=0,"",AVERAGE(H138:N138))</f>
        <v/>
      </c>
      <c r="R138" s="25">
        <f>IF(COUNT(H138:N138)&lt;2,"",STDEV(H138:N138))</f>
        <v/>
      </c>
      <c r="S138" s="26">
        <f>IF(COUNT(H138:N138)=0,"",COMBIN(COUNT(H138:N138),COUNTIF(H138:N138,"&gt;=3"))*0.5^COUNT(H138:N138))</f>
        <v/>
      </c>
      <c r="T138" s="25">
        <f>IFERROR(IF(P138="","",(P138-S138)/(1-S138)),"")</f>
        <v/>
      </c>
      <c r="U138" s="27">
        <f>IF(P138="","Awaiting",IF(P138&gt;=CVI_PASS,"PASS",IF(P138&gt;=CVI_BORDER,"BORDERLINE","FAIL")))</f>
        <v/>
      </c>
    </row>
    <row r="139">
      <c r="A139" s="9" t="inlineStr">
        <is>
          <t>Q015</t>
        </is>
      </c>
      <c r="B139" s="17" t="inlineStr">
        <is>
          <t>Quiz Item</t>
        </is>
      </c>
      <c r="C139" s="18" t="inlineStr">
        <is>
          <t>खीर</t>
        </is>
      </c>
      <c r="D139" s="19" t="inlineStr">
        <is>
          <t>Kheer</t>
        </is>
      </c>
      <c r="E139" s="20" t="inlineStr">
        <is>
          <t>Rice Pudding</t>
        </is>
      </c>
      <c r="F139" s="17" t="inlineStr">
        <is>
          <t>Vocabulary / Translate the Word</t>
        </is>
      </c>
      <c r="G139" s="21" t="inlineStr">
        <is>
          <t>Prompt: What is 'Kheer' in English? | Options: Fried bread / Rice Pudding / Spiced lentil soup / Sweet yogurt</t>
        </is>
      </c>
      <c r="H139" s="22" t="inlineStr"/>
      <c r="I139" s="22" t="inlineStr"/>
      <c r="J139" s="22" t="inlineStr"/>
      <c r="K139" s="22" t="inlineStr"/>
      <c r="L139" s="22" t="inlineStr"/>
      <c r="M139" s="22" t="inlineStr"/>
      <c r="N139" s="22" t="inlineStr"/>
      <c r="O139" s="23">
        <f>COUNTIF(H139:N139,"&gt;=3")</f>
        <v/>
      </c>
      <c r="P139" s="24">
        <f>IF(COUNT(H139:N139)=0,"",COUNTIF(H139:N139,"&gt;=3")/COUNT(H139:N139))</f>
        <v/>
      </c>
      <c r="Q139" s="25">
        <f>IF(COUNT(H139:N139)=0,"",AVERAGE(H139:N139))</f>
        <v/>
      </c>
      <c r="R139" s="25">
        <f>IF(COUNT(H139:N139)&lt;2,"",STDEV(H139:N139))</f>
        <v/>
      </c>
      <c r="S139" s="26">
        <f>IF(COUNT(H139:N139)=0,"",COMBIN(COUNT(H139:N139),COUNTIF(H139:N139,"&gt;=3"))*0.5^COUNT(H139:N139))</f>
        <v/>
      </c>
      <c r="T139" s="25">
        <f>IFERROR(IF(P139="","",(P139-S139)/(1-S139)),"")</f>
        <v/>
      </c>
      <c r="U139" s="27">
        <f>IF(P139="","Awaiting",IF(P139&gt;=CVI_PASS,"PASS",IF(P139&gt;=CVI_BORDER,"BORDERLINE","FAIL")))</f>
        <v/>
      </c>
    </row>
    <row r="140">
      <c r="A140" s="9" t="inlineStr">
        <is>
          <t>Q016</t>
        </is>
      </c>
      <c r="B140" s="17" t="inlineStr">
        <is>
          <t>Quiz Item</t>
        </is>
      </c>
      <c r="C140" s="18" t="inlineStr">
        <is>
          <t>जहाँ-तहाँ किताब बिखरी पडी बाटय।</t>
        </is>
      </c>
      <c r="D140" s="19" t="inlineStr">
        <is>
          <t>Jahaan-tahaan kitaab bikhari padi baatay.</t>
        </is>
      </c>
      <c r="E140" s="20" t="inlineStr">
        <is>
          <t>Books are scattered here and there.</t>
        </is>
      </c>
      <c r="F140" s="17" t="inlineStr">
        <is>
          <t>Sentence / Translate to English</t>
        </is>
      </c>
      <c r="G140" s="21" t="inlineStr">
        <is>
          <t>Prompt: What does this sentence mean? | Options: Please arrange the books neatly. / Books are locked in the cupboard. / There are no books in the room. / Books are scattered here and there.</t>
        </is>
      </c>
      <c r="H140" s="22" t="inlineStr"/>
      <c r="I140" s="22" t="inlineStr"/>
      <c r="J140" s="22" t="inlineStr"/>
      <c r="K140" s="22" t="inlineStr"/>
      <c r="L140" s="22" t="inlineStr"/>
      <c r="M140" s="22" t="inlineStr"/>
      <c r="N140" s="22" t="inlineStr"/>
      <c r="O140" s="23">
        <f>COUNTIF(H140:N140,"&gt;=3")</f>
        <v/>
      </c>
      <c r="P140" s="24">
        <f>IF(COUNT(H140:N140)=0,"",COUNTIF(H140:N140,"&gt;=3")/COUNT(H140:N140))</f>
        <v/>
      </c>
      <c r="Q140" s="25">
        <f>IF(COUNT(H140:N140)=0,"",AVERAGE(H140:N140))</f>
        <v/>
      </c>
      <c r="R140" s="25">
        <f>IF(COUNT(H140:N140)&lt;2,"",STDEV(H140:N140))</f>
        <v/>
      </c>
      <c r="S140" s="26">
        <f>IF(COUNT(H140:N140)=0,"",COMBIN(COUNT(H140:N140),COUNTIF(H140:N140,"&gt;=3"))*0.5^COUNT(H140:N140))</f>
        <v/>
      </c>
      <c r="T140" s="25">
        <f>IFERROR(IF(P140="","",(P140-S140)/(1-S140)),"")</f>
        <v/>
      </c>
      <c r="U140" s="27">
        <f>IF(P140="","Awaiting",IF(P140&gt;=CVI_PASS,"PASS",IF(P140&gt;=CVI_BORDER,"BORDERLINE","FAIL")))</f>
        <v/>
      </c>
    </row>
    <row r="141">
      <c r="A141" s="9" t="inlineStr">
        <is>
          <t>Q017</t>
        </is>
      </c>
      <c r="B141" s="17" t="inlineStr">
        <is>
          <t>Quiz Item</t>
        </is>
      </c>
      <c r="C141" s="18" t="inlineStr">
        <is>
          <t>आशीर्वाद</t>
        </is>
      </c>
      <c r="D141" s="19" t="inlineStr">
        <is>
          <t>Aashirvaad</t>
        </is>
      </c>
      <c r="E141" s="20" t="inlineStr">
        <is>
          <t>Blessing</t>
        </is>
      </c>
      <c r="F141" s="17" t="inlineStr">
        <is>
          <t>Vocabulary / Translate the Word</t>
        </is>
      </c>
      <c r="G141" s="21" t="inlineStr">
        <is>
          <t>Prompt: What does 'Aashirvaad' mean? | Options: Blessing / Punishment / Invitation / Greeting</t>
        </is>
      </c>
      <c r="H141" s="22" t="inlineStr"/>
      <c r="I141" s="22" t="inlineStr"/>
      <c r="J141" s="22" t="inlineStr"/>
      <c r="K141" s="22" t="inlineStr"/>
      <c r="L141" s="22" t="inlineStr"/>
      <c r="M141" s="22" t="inlineStr"/>
      <c r="N141" s="22" t="inlineStr"/>
      <c r="O141" s="23">
        <f>COUNTIF(H141:N141,"&gt;=3")</f>
        <v/>
      </c>
      <c r="P141" s="24">
        <f>IF(COUNT(H141:N141)=0,"",COUNTIF(H141:N141,"&gt;=3")/COUNT(H141:N141))</f>
        <v/>
      </c>
      <c r="Q141" s="25">
        <f>IF(COUNT(H141:N141)=0,"",AVERAGE(H141:N141))</f>
        <v/>
      </c>
      <c r="R141" s="25">
        <f>IF(COUNT(H141:N141)&lt;2,"",STDEV(H141:N141))</f>
        <v/>
      </c>
      <c r="S141" s="26">
        <f>IF(COUNT(H141:N141)=0,"",COMBIN(COUNT(H141:N141),COUNTIF(H141:N141,"&gt;=3"))*0.5^COUNT(H141:N141))</f>
        <v/>
      </c>
      <c r="T141" s="25">
        <f>IFERROR(IF(P141="","",(P141-S141)/(1-S141)),"")</f>
        <v/>
      </c>
      <c r="U141" s="27">
        <f>IF(P141="","Awaiting",IF(P141&gt;=CVI_PASS,"PASS",IF(P141&gt;=CVI_BORDER,"BORDERLINE","FAIL")))</f>
        <v/>
      </c>
    </row>
    <row r="142">
      <c r="A142" s="9" t="inlineStr">
        <is>
          <t>Q018</t>
        </is>
      </c>
      <c r="B142" s="17" t="inlineStr">
        <is>
          <t>Quiz Item</t>
        </is>
      </c>
      <c r="C142" s="18" t="inlineStr">
        <is>
          <t>वे हर दिन फ़ुटबाल खेला थें।</t>
        </is>
      </c>
      <c r="D142" s="19" t="inlineStr">
        <is>
          <t>Ve har din football khela then.</t>
        </is>
      </c>
      <c r="E142" s="20" t="inlineStr">
        <is>
          <t>They used to play football every day.</t>
        </is>
      </c>
      <c r="F142" s="17" t="inlineStr">
        <is>
          <t>Sentence / Translate to English</t>
        </is>
      </c>
      <c r="G142" s="21" t="inlineStr">
        <is>
          <t>Prompt: What does this sentence mean? | Options: They want to learn football. / They used to play football every day. / They played football yesterday. / They won the football match.</t>
        </is>
      </c>
      <c r="H142" s="22" t="inlineStr"/>
      <c r="I142" s="22" t="inlineStr"/>
      <c r="J142" s="22" t="inlineStr"/>
      <c r="K142" s="22" t="inlineStr"/>
      <c r="L142" s="22" t="inlineStr"/>
      <c r="M142" s="22" t="inlineStr"/>
      <c r="N142" s="22" t="inlineStr"/>
      <c r="O142" s="23">
        <f>COUNTIF(H142:N142,"&gt;=3")</f>
        <v/>
      </c>
      <c r="P142" s="24">
        <f>IF(COUNT(H142:N142)=0,"",COUNTIF(H142:N142,"&gt;=3")/COUNT(H142:N142))</f>
        <v/>
      </c>
      <c r="Q142" s="25">
        <f>IF(COUNT(H142:N142)=0,"",AVERAGE(H142:N142))</f>
        <v/>
      </c>
      <c r="R142" s="25">
        <f>IF(COUNT(H142:N142)&lt;2,"",STDEV(H142:N142))</f>
        <v/>
      </c>
      <c r="S142" s="26">
        <f>IF(COUNT(H142:N142)=0,"",COMBIN(COUNT(H142:N142),COUNTIF(H142:N142,"&gt;=3"))*0.5^COUNT(H142:N142))</f>
        <v/>
      </c>
      <c r="T142" s="25">
        <f>IFERROR(IF(P142="","",(P142-S142)/(1-S142)),"")</f>
        <v/>
      </c>
      <c r="U142" s="27">
        <f>IF(P142="","Awaiting",IF(P142&gt;=CVI_PASS,"PASS",IF(P142&gt;=CVI_BORDER,"BORDERLINE","FAIL")))</f>
        <v/>
      </c>
    </row>
    <row r="143">
      <c r="A143" s="9" t="inlineStr">
        <is>
          <t>Q019</t>
        </is>
      </c>
      <c r="B143" s="17" t="inlineStr">
        <is>
          <t>Quiz Item</t>
        </is>
      </c>
      <c r="C143" s="18" t="inlineStr">
        <is>
          <t>बाँस</t>
        </is>
      </c>
      <c r="D143" s="19" t="inlineStr">
        <is>
          <t>Baans</t>
        </is>
      </c>
      <c r="E143" s="20" t="inlineStr">
        <is>
          <t>Bamboo</t>
        </is>
      </c>
      <c r="F143" s="17" t="inlineStr">
        <is>
          <t>Vocabulary / Translate the Word</t>
        </is>
      </c>
      <c r="G143" s="21" t="inlineStr">
        <is>
          <t>Prompt: What does 'Baans' mean? | Options: Rope / Tree / River / Bamboo</t>
        </is>
      </c>
      <c r="H143" s="22" t="inlineStr"/>
      <c r="I143" s="22" t="inlineStr"/>
      <c r="J143" s="22" t="inlineStr"/>
      <c r="K143" s="22" t="inlineStr"/>
      <c r="L143" s="22" t="inlineStr"/>
      <c r="M143" s="22" t="inlineStr"/>
      <c r="N143" s="22" t="inlineStr"/>
      <c r="O143" s="23">
        <f>COUNTIF(H143:N143,"&gt;=3")</f>
        <v/>
      </c>
      <c r="P143" s="24">
        <f>IF(COUNT(H143:N143)=0,"",COUNTIF(H143:N143,"&gt;=3")/COUNT(H143:N143))</f>
        <v/>
      </c>
      <c r="Q143" s="25">
        <f>IF(COUNT(H143:N143)=0,"",AVERAGE(H143:N143))</f>
        <v/>
      </c>
      <c r="R143" s="25">
        <f>IF(COUNT(H143:N143)&lt;2,"",STDEV(H143:N143))</f>
        <v/>
      </c>
      <c r="S143" s="26">
        <f>IF(COUNT(H143:N143)=0,"",COMBIN(COUNT(H143:N143),COUNTIF(H143:N143,"&gt;=3"))*0.5^COUNT(H143:N143))</f>
        <v/>
      </c>
      <c r="T143" s="25">
        <f>IFERROR(IF(P143="","",(P143-S143)/(1-S143)),"")</f>
        <v/>
      </c>
      <c r="U143" s="27">
        <f>IF(P143="","Awaiting",IF(P143&gt;=CVI_PASS,"PASS",IF(P143&gt;=CVI_BORDER,"BORDERLINE","FAIL")))</f>
        <v/>
      </c>
    </row>
    <row r="144">
      <c r="A144" s="9" t="inlineStr">
        <is>
          <t>Q020</t>
        </is>
      </c>
      <c r="B144" s="17" t="inlineStr">
        <is>
          <t>Quiz Item</t>
        </is>
      </c>
      <c r="C144" s="18" t="inlineStr">
        <is>
          <t>हम चाही थे की तू एक अच्छा इन्सान बना।</t>
        </is>
      </c>
      <c r="D144" s="19" t="inlineStr">
        <is>
          <t>Hum chaahi the ki tu ek achchha insaan bana.</t>
        </is>
      </c>
      <c r="E144" s="20" t="inlineStr">
        <is>
          <t>I wanted you to become a good person.</t>
        </is>
      </c>
      <c r="F144" s="17" t="inlineStr">
        <is>
          <t>Sentence / Translate to English</t>
        </is>
      </c>
      <c r="G144" s="21" t="inlineStr">
        <is>
          <t>Prompt: What does this sentence mean? | Options: You are a good person. / I wanted you to become a good person. / He became a good human being. / Be a good person.</t>
        </is>
      </c>
      <c r="H144" s="22" t="inlineStr"/>
      <c r="I144" s="22" t="inlineStr"/>
      <c r="J144" s="22" t="inlineStr"/>
      <c r="K144" s="22" t="inlineStr"/>
      <c r="L144" s="22" t="inlineStr"/>
      <c r="M144" s="22" t="inlineStr"/>
      <c r="N144" s="22" t="inlineStr"/>
      <c r="O144" s="23">
        <f>COUNTIF(H144:N144,"&gt;=3")</f>
        <v/>
      </c>
      <c r="P144" s="24">
        <f>IF(COUNT(H144:N144)=0,"",COUNTIF(H144:N144,"&gt;=3")/COUNT(H144:N144))</f>
        <v/>
      </c>
      <c r="Q144" s="25">
        <f>IF(COUNT(H144:N144)=0,"",AVERAGE(H144:N144))</f>
        <v/>
      </c>
      <c r="R144" s="25">
        <f>IF(COUNT(H144:N144)&lt;2,"",STDEV(H144:N144))</f>
        <v/>
      </c>
      <c r="S144" s="26">
        <f>IF(COUNT(H144:N144)=0,"",COMBIN(COUNT(H144:N144),COUNTIF(H144:N144,"&gt;=3"))*0.5^COUNT(H144:N144))</f>
        <v/>
      </c>
      <c r="T144" s="25">
        <f>IFERROR(IF(P144="","",(P144-S144)/(1-S144)),"")</f>
        <v/>
      </c>
      <c r="U144" s="27">
        <f>IF(P144="","Awaiting",IF(P144&gt;=CVI_PASS,"PASS",IF(P144&gt;=CVI_BORDER,"BORDERLINE","FAIL")))</f>
        <v/>
      </c>
    </row>
    <row r="145">
      <c r="A145" s="9" t="inlineStr">
        <is>
          <t>Q021</t>
        </is>
      </c>
      <c r="B145" s="17" t="inlineStr">
        <is>
          <t>Quiz Item</t>
        </is>
      </c>
      <c r="C145" s="18" t="inlineStr">
        <is>
          <t>तिलक</t>
        </is>
      </c>
      <c r="D145" s="19" t="inlineStr">
        <is>
          <t>Tilak</t>
        </is>
      </c>
      <c r="E145" s="20" t="inlineStr">
        <is>
          <t>A sacred dot / Pre-wedding ceremony</t>
        </is>
      </c>
      <c r="F145" s="17" t="inlineStr">
        <is>
          <t>Vocabulary / Translate the Word</t>
        </is>
      </c>
      <c r="G145" s="21" t="inlineStr">
        <is>
          <t>Prompt: In the context of Awadhi culture, 'Tilak' refers to: | Options: A sacred dot / Pre-wedding ceremony / A type of sweet dish / A musical instrument / A farming tool</t>
        </is>
      </c>
      <c r="H145" s="22" t="inlineStr"/>
      <c r="I145" s="22" t="inlineStr"/>
      <c r="J145" s="22" t="inlineStr"/>
      <c r="K145" s="22" t="inlineStr"/>
      <c r="L145" s="22" t="inlineStr"/>
      <c r="M145" s="22" t="inlineStr"/>
      <c r="N145" s="22" t="inlineStr"/>
      <c r="O145" s="23">
        <f>COUNTIF(H145:N145,"&gt;=3")</f>
        <v/>
      </c>
      <c r="P145" s="24">
        <f>IF(COUNT(H145:N145)=0,"",COUNTIF(H145:N145,"&gt;=3")/COUNT(H145:N145))</f>
        <v/>
      </c>
      <c r="Q145" s="25">
        <f>IF(COUNT(H145:N145)=0,"",AVERAGE(H145:N145))</f>
        <v/>
      </c>
      <c r="R145" s="25">
        <f>IF(COUNT(H145:N145)&lt;2,"",STDEV(H145:N145))</f>
        <v/>
      </c>
      <c r="S145" s="26">
        <f>IF(COUNT(H145:N145)=0,"",COMBIN(COUNT(H145:N145),COUNTIF(H145:N145,"&gt;=3"))*0.5^COUNT(H145:N145))</f>
        <v/>
      </c>
      <c r="T145" s="25">
        <f>IFERROR(IF(P145="","",(P145-S145)/(1-S145)),"")</f>
        <v/>
      </c>
      <c r="U145" s="27">
        <f>IF(P145="","Awaiting",IF(P145&gt;=CVI_PASS,"PASS",IF(P145&gt;=CVI_BORDER,"BORDERLINE","FAIL")))</f>
        <v/>
      </c>
    </row>
    <row r="146">
      <c r="A146" s="9" t="inlineStr">
        <is>
          <t>Q022</t>
        </is>
      </c>
      <c r="B146" s="17" t="inlineStr">
        <is>
          <t>Quiz Item</t>
        </is>
      </c>
      <c r="C146" s="18" t="inlineStr">
        <is>
          <t>हम जाबय जब अम्मा आय जइहैं।</t>
        </is>
      </c>
      <c r="D146" s="19" t="inlineStr">
        <is>
          <t>Hum jaabay jab amma aay jaihain.</t>
        </is>
      </c>
      <c r="E146" s="20" t="inlineStr">
        <is>
          <t>I will go when mother comes.</t>
        </is>
      </c>
      <c r="F146" s="17" t="inlineStr">
        <is>
          <t>Sentence / Translate to English</t>
        </is>
      </c>
      <c r="G146" s="21" t="inlineStr">
        <is>
          <t>Prompt: What does this sentence mean? | Options: Mother and I went together. / I will go when mother comes. / Mother went before I could. / When will mother arrive?</t>
        </is>
      </c>
      <c r="H146" s="22" t="inlineStr"/>
      <c r="I146" s="22" t="inlineStr"/>
      <c r="J146" s="22" t="inlineStr"/>
      <c r="K146" s="22" t="inlineStr"/>
      <c r="L146" s="22" t="inlineStr"/>
      <c r="M146" s="22" t="inlineStr"/>
      <c r="N146" s="22" t="inlineStr"/>
      <c r="O146" s="23">
        <f>COUNTIF(H146:N146,"&gt;=3")</f>
        <v/>
      </c>
      <c r="P146" s="24">
        <f>IF(COUNT(H146:N146)=0,"",COUNTIF(H146:N146,"&gt;=3")/COUNT(H146:N146))</f>
        <v/>
      </c>
      <c r="Q146" s="25">
        <f>IF(COUNT(H146:N146)=0,"",AVERAGE(H146:N146))</f>
        <v/>
      </c>
      <c r="R146" s="25">
        <f>IF(COUNT(H146:N146)&lt;2,"",STDEV(H146:N146))</f>
        <v/>
      </c>
      <c r="S146" s="26">
        <f>IF(COUNT(H146:N146)=0,"",COMBIN(COUNT(H146:N146),COUNTIF(H146:N146,"&gt;=3"))*0.5^COUNT(H146:N146))</f>
        <v/>
      </c>
      <c r="T146" s="25">
        <f>IFERROR(IF(P146="","",(P146-S146)/(1-S146)),"")</f>
        <v/>
      </c>
      <c r="U146" s="27">
        <f>IF(P146="","Awaiting",IF(P146&gt;=CVI_PASS,"PASS",IF(P146&gt;=CVI_BORDER,"BORDERLINE","FAIL")))</f>
        <v/>
      </c>
    </row>
    <row r="147">
      <c r="A147" s="9" t="inlineStr">
        <is>
          <t>Q023</t>
        </is>
      </c>
      <c r="B147" s="17" t="inlineStr">
        <is>
          <t>Quiz Item</t>
        </is>
      </c>
      <c r="C147" s="18" t="inlineStr">
        <is>
          <t>रसम</t>
        </is>
      </c>
      <c r="D147" s="19" t="inlineStr">
        <is>
          <t>Rasm</t>
        </is>
      </c>
      <c r="E147" s="20" t="inlineStr">
        <is>
          <t>Ritual / Custom</t>
        </is>
      </c>
      <c r="F147" s="17" t="inlineStr">
        <is>
          <t>Vocabulary / Translate the Word</t>
        </is>
      </c>
      <c r="G147" s="21" t="inlineStr">
        <is>
          <t>Prompt: What does 'Rasm' mean in Awadhi? | Options: Story / Narrative / Song / Melody / Ritual / Custom / Prayer / Worship</t>
        </is>
      </c>
      <c r="H147" s="22" t="inlineStr"/>
      <c r="I147" s="22" t="inlineStr"/>
      <c r="J147" s="22" t="inlineStr"/>
      <c r="K147" s="22" t="inlineStr"/>
      <c r="L147" s="22" t="inlineStr"/>
      <c r="M147" s="22" t="inlineStr"/>
      <c r="N147" s="22" t="inlineStr"/>
      <c r="O147" s="23">
        <f>COUNTIF(H147:N147,"&gt;=3")</f>
        <v/>
      </c>
      <c r="P147" s="24">
        <f>IF(COUNT(H147:N147)=0,"",COUNTIF(H147:N147,"&gt;=3")/COUNT(H147:N147))</f>
        <v/>
      </c>
      <c r="Q147" s="25">
        <f>IF(COUNT(H147:N147)=0,"",AVERAGE(H147:N147))</f>
        <v/>
      </c>
      <c r="R147" s="25">
        <f>IF(COUNT(H147:N147)&lt;2,"",STDEV(H147:N147))</f>
        <v/>
      </c>
      <c r="S147" s="26">
        <f>IF(COUNT(H147:N147)=0,"",COMBIN(COUNT(H147:N147),COUNTIF(H147:N147,"&gt;=3"))*0.5^COUNT(H147:N147))</f>
        <v/>
      </c>
      <c r="T147" s="25">
        <f>IFERROR(IF(P147="","",(P147-S147)/(1-S147)),"")</f>
        <v/>
      </c>
      <c r="U147" s="27">
        <f>IF(P147="","Awaiting",IF(P147&gt;=CVI_PASS,"PASS",IF(P147&gt;=CVI_BORDER,"BORDERLINE","FAIL")))</f>
        <v/>
      </c>
    </row>
    <row r="148">
      <c r="A148" s="9" t="inlineStr">
        <is>
          <t>Q024</t>
        </is>
      </c>
      <c r="B148" s="17" t="inlineStr">
        <is>
          <t>Quiz Item</t>
        </is>
      </c>
      <c r="C148" s="18" t="inlineStr">
        <is>
          <t>खाये के बाद सोया।</t>
        </is>
      </c>
      <c r="D148" s="19" t="inlineStr">
        <is>
          <t>Khaaye ke baad soya.</t>
        </is>
      </c>
      <c r="E148" s="20" t="inlineStr">
        <is>
          <t>He slept after eating.</t>
        </is>
      </c>
      <c r="F148" s="17" t="inlineStr">
        <is>
          <t>Sentence / Translate to English</t>
        </is>
      </c>
      <c r="G148" s="21" t="inlineStr">
        <is>
          <t>Prompt: What does this sentence mean? | Options: He slept before eating. / He ate and then ran. / He slept after eating. / She cooked and ate.</t>
        </is>
      </c>
      <c r="H148" s="22" t="inlineStr"/>
      <c r="I148" s="22" t="inlineStr"/>
      <c r="J148" s="22" t="inlineStr"/>
      <c r="K148" s="22" t="inlineStr"/>
      <c r="L148" s="22" t="inlineStr"/>
      <c r="M148" s="22" t="inlineStr"/>
      <c r="N148" s="22" t="inlineStr"/>
      <c r="O148" s="23">
        <f>COUNTIF(H148:N148,"&gt;=3")</f>
        <v/>
      </c>
      <c r="P148" s="24">
        <f>IF(COUNT(H148:N148)=0,"",COUNTIF(H148:N148,"&gt;=3")/COUNT(H148:N148))</f>
        <v/>
      </c>
      <c r="Q148" s="25">
        <f>IF(COUNT(H148:N148)=0,"",AVERAGE(H148:N148))</f>
        <v/>
      </c>
      <c r="R148" s="25">
        <f>IF(COUNT(H148:N148)&lt;2,"",STDEV(H148:N148))</f>
        <v/>
      </c>
      <c r="S148" s="26">
        <f>IF(COUNT(H148:N148)=0,"",COMBIN(COUNT(H148:N148),COUNTIF(H148:N148,"&gt;=3"))*0.5^COUNT(H148:N148))</f>
        <v/>
      </c>
      <c r="T148" s="25">
        <f>IFERROR(IF(P148="","",(P148-S148)/(1-S148)),"")</f>
        <v/>
      </c>
      <c r="U148" s="27">
        <f>IF(P148="","Awaiting",IF(P148&gt;=CVI_PASS,"PASS",IF(P148&gt;=CVI_BORDER,"BORDERLINE","FAIL")))</f>
        <v/>
      </c>
    </row>
    <row r="149">
      <c r="A149" s="9" t="inlineStr">
        <is>
          <t>Q025</t>
        </is>
      </c>
      <c r="B149" s="17" t="inlineStr">
        <is>
          <t>Quiz Item</t>
        </is>
      </c>
      <c r="C149" s="18" t="inlineStr">
        <is>
          <t>कलेवा</t>
        </is>
      </c>
      <c r="D149" s="19" t="inlineStr">
        <is>
          <t>Kalewa</t>
        </is>
      </c>
      <c r="E149" s="20" t="inlineStr">
        <is>
          <t>Morning Meal / Breakfast</t>
        </is>
      </c>
      <c r="F149" s="17" t="inlineStr">
        <is>
          <t>Vocabulary / Translate the Word</t>
        </is>
      </c>
      <c r="G149" s="21" t="inlineStr">
        <is>
          <t>Prompt: What does 'Kalewa' mean? | Options: Evening Meal / Morning Meal / Breakfast / Festive Feast / Midnight Snack</t>
        </is>
      </c>
      <c r="H149" s="22" t="inlineStr"/>
      <c r="I149" s="22" t="inlineStr"/>
      <c r="J149" s="22" t="inlineStr"/>
      <c r="K149" s="22" t="inlineStr"/>
      <c r="L149" s="22" t="inlineStr"/>
      <c r="M149" s="22" t="inlineStr"/>
      <c r="N149" s="22" t="inlineStr"/>
      <c r="O149" s="23">
        <f>COUNTIF(H149:N149,"&gt;=3")</f>
        <v/>
      </c>
      <c r="P149" s="24">
        <f>IF(COUNT(H149:N149)=0,"",COUNTIF(H149:N149,"&gt;=3")/COUNT(H149:N149))</f>
        <v/>
      </c>
      <c r="Q149" s="25">
        <f>IF(COUNT(H149:N149)=0,"",AVERAGE(H149:N149))</f>
        <v/>
      </c>
      <c r="R149" s="25">
        <f>IF(COUNT(H149:N149)&lt;2,"",STDEV(H149:N149))</f>
        <v/>
      </c>
      <c r="S149" s="26">
        <f>IF(COUNT(H149:N149)=0,"",COMBIN(COUNT(H149:N149),COUNTIF(H149:N149,"&gt;=3"))*0.5^COUNT(H149:N149))</f>
        <v/>
      </c>
      <c r="T149" s="25">
        <f>IFERROR(IF(P149="","",(P149-S149)/(1-S149)),"")</f>
        <v/>
      </c>
      <c r="U149" s="27">
        <f>IF(P149="","Awaiting",IF(P149&gt;=CVI_PASS,"PASS",IF(P149&gt;=CVI_BORDER,"BORDERLINE","FAIL")))</f>
        <v/>
      </c>
    </row>
    <row r="150">
      <c r="A150" s="9" t="inlineStr">
        <is>
          <t>S001</t>
        </is>
      </c>
      <c r="B150" s="17" t="inlineStr">
        <is>
          <t>Story Paragraph</t>
        </is>
      </c>
      <c r="C150" s="18" t="inlineStr">
        <is>
          <t>जादातर जनम कय रसम अउर नामकरन कय रसम कौने कौने समय पय होत है।</t>
        </is>
      </c>
      <c r="D150" s="19" t="inlineStr"/>
      <c r="E150" s="20" t="inlineStr">
        <is>
          <t>The birth and naming ceremonies take place at specific auspicious times.</t>
        </is>
      </c>
      <c r="F150" s="17" t="inlineStr">
        <is>
          <t>Lifecycle</t>
        </is>
      </c>
      <c r="G150" s="21" t="inlineStr">
        <is>
          <t>Janam aur Naamkaran (¶1)</t>
        </is>
      </c>
      <c r="H150" s="22" t="inlineStr"/>
      <c r="I150" s="22" t="inlineStr"/>
      <c r="J150" s="22" t="inlineStr"/>
      <c r="K150" s="22" t="inlineStr"/>
      <c r="L150" s="22" t="inlineStr"/>
      <c r="M150" s="22" t="inlineStr"/>
      <c r="N150" s="22" t="inlineStr"/>
      <c r="O150" s="23">
        <f>COUNTIF(H150:N150,"&gt;=3")</f>
        <v/>
      </c>
      <c r="P150" s="24">
        <f>IF(COUNT(H150:N150)=0,"",COUNTIF(H150:N150,"&gt;=3")/COUNT(H150:N150))</f>
        <v/>
      </c>
      <c r="Q150" s="25">
        <f>IF(COUNT(H150:N150)=0,"",AVERAGE(H150:N150))</f>
        <v/>
      </c>
      <c r="R150" s="25">
        <f>IF(COUNT(H150:N150)&lt;2,"",STDEV(H150:N150))</f>
        <v/>
      </c>
      <c r="S150" s="26">
        <f>IF(COUNT(H150:N150)=0,"",COMBIN(COUNT(H150:N150),COUNTIF(H150:N150,"&gt;=3"))*0.5^COUNT(H150:N150))</f>
        <v/>
      </c>
      <c r="T150" s="25">
        <f>IFERROR(IF(P150="","",(P150-S150)/(1-S150)),"")</f>
        <v/>
      </c>
      <c r="U150" s="27">
        <f>IF(P150="","Awaiting",IF(P150&gt;=CVI_PASS,"PASS",IF(P150&gt;=CVI_BORDER,"BORDERLINE","FAIL")))</f>
        <v/>
      </c>
    </row>
    <row r="151">
      <c r="A151" s="9" t="inlineStr">
        <is>
          <t>S002</t>
        </is>
      </c>
      <c r="B151" s="17" t="inlineStr">
        <is>
          <t>Story Paragraph</t>
        </is>
      </c>
      <c r="C151" s="18" t="inlineStr">
        <is>
          <t>जनम अउर नामकरन कय रसन पंडित द्वारा शुभ दिन अउर तिथि देख के निश्चित कीन जात है ।</t>
        </is>
      </c>
      <c r="D151" s="19" t="inlineStr"/>
      <c r="E151" s="20" t="inlineStr">
        <is>
          <t>The rituals are fixed by the priest after checking an auspicious day and date.</t>
        </is>
      </c>
      <c r="F151" s="17" t="inlineStr">
        <is>
          <t>Lifecycle</t>
        </is>
      </c>
      <c r="G151" s="21" t="inlineStr">
        <is>
          <t>Janam aur Naamkaran (¶2)</t>
        </is>
      </c>
      <c r="H151" s="22" t="inlineStr"/>
      <c r="I151" s="22" t="inlineStr"/>
      <c r="J151" s="22" t="inlineStr"/>
      <c r="K151" s="22" t="inlineStr"/>
      <c r="L151" s="22" t="inlineStr"/>
      <c r="M151" s="22" t="inlineStr"/>
      <c r="N151" s="22" t="inlineStr"/>
      <c r="O151" s="23">
        <f>COUNTIF(H151:N151,"&gt;=3")</f>
        <v/>
      </c>
      <c r="P151" s="24">
        <f>IF(COUNT(H151:N151)=0,"",COUNTIF(H151:N151,"&gt;=3")/COUNT(H151:N151))</f>
        <v/>
      </c>
      <c r="Q151" s="25">
        <f>IF(COUNT(H151:N151)=0,"",AVERAGE(H151:N151))</f>
        <v/>
      </c>
      <c r="R151" s="25">
        <f>IF(COUNT(H151:N151)&lt;2,"",STDEV(H151:N151))</f>
        <v/>
      </c>
      <c r="S151" s="26">
        <f>IF(COUNT(H151:N151)=0,"",COMBIN(COUNT(H151:N151),COUNTIF(H151:N151,"&gt;=3"))*0.5^COUNT(H151:N151))</f>
        <v/>
      </c>
      <c r="T151" s="25">
        <f>IFERROR(IF(P151="","",(P151-S151)/(1-S151)),"")</f>
        <v/>
      </c>
      <c r="U151" s="27">
        <f>IF(P151="","Awaiting",IF(P151&gt;=CVI_PASS,"PASS",IF(P151&gt;=CVI_BORDER,"BORDERLINE","FAIL")))</f>
        <v/>
      </c>
    </row>
    <row r="152">
      <c r="A152" s="9" t="inlineStr">
        <is>
          <t>S003</t>
        </is>
      </c>
      <c r="B152" s="17" t="inlineStr">
        <is>
          <t>Story Paragraph</t>
        </is>
      </c>
      <c r="C152" s="18" t="inlineStr">
        <is>
          <t>नामकरन के रसम मा मामा,नाना-नानी ,बुआ-फ़ुफ़ा,चाची मौसी ,दादी ,नानी सब लॊग नामकरन के रसम मा जा थीं आवा थी ।</t>
        </is>
      </c>
      <c r="D152" s="19" t="inlineStr"/>
      <c r="E152" s="20" t="inlineStr">
        <is>
          <t>For the naming ceremony, the maternal uncle, grandparents, aunts, and grandmother all came.</t>
        </is>
      </c>
      <c r="F152" s="17" t="inlineStr">
        <is>
          <t>Lifecycle</t>
        </is>
      </c>
      <c r="G152" s="21" t="inlineStr">
        <is>
          <t>Janam aur Naamkaran (¶3)</t>
        </is>
      </c>
      <c r="H152" s="22" t="inlineStr"/>
      <c r="I152" s="22" t="inlineStr"/>
      <c r="J152" s="22" t="inlineStr"/>
      <c r="K152" s="22" t="inlineStr"/>
      <c r="L152" s="22" t="inlineStr"/>
      <c r="M152" s="22" t="inlineStr"/>
      <c r="N152" s="22" t="inlineStr"/>
      <c r="O152" s="23">
        <f>COUNTIF(H152:N152,"&gt;=3")</f>
        <v/>
      </c>
      <c r="P152" s="24">
        <f>IF(COUNT(H152:N152)=0,"",COUNTIF(H152:N152,"&gt;=3")/COUNT(H152:N152))</f>
        <v/>
      </c>
      <c r="Q152" s="25">
        <f>IF(COUNT(H152:N152)=0,"",AVERAGE(H152:N152))</f>
        <v/>
      </c>
      <c r="R152" s="25">
        <f>IF(COUNT(H152:N152)&lt;2,"",STDEV(H152:N152))</f>
        <v/>
      </c>
      <c r="S152" s="26">
        <f>IF(COUNT(H152:N152)=0,"",COMBIN(COUNT(H152:N152),COUNTIF(H152:N152,"&gt;=3"))*0.5^COUNT(H152:N152))</f>
        <v/>
      </c>
      <c r="T152" s="25">
        <f>IFERROR(IF(P152="","",(P152-S152)/(1-S152)),"")</f>
        <v/>
      </c>
      <c r="U152" s="27">
        <f>IF(P152="","Awaiting",IF(P152&gt;=CVI_PASS,"PASS",IF(P152&gt;=CVI_BORDER,"BORDERLINE","FAIL")))</f>
        <v/>
      </c>
    </row>
    <row r="153">
      <c r="A153" s="9" t="inlineStr">
        <is>
          <t>S004</t>
        </is>
      </c>
      <c r="B153" s="17" t="inlineStr">
        <is>
          <t>Story Paragraph</t>
        </is>
      </c>
      <c r="C153" s="18" t="inlineStr">
        <is>
          <t>जनम अउर नामकरन के रसम मा फ़ूल-फ़ल ,केला ,पूडी,सब्जी सब लागत है ।</t>
        </is>
      </c>
      <c r="D153" s="19" t="inlineStr"/>
      <c r="E153" s="20" t="inlineStr">
        <is>
          <t>Flowers, fruits, bananas, puri, and vegetables are all part of the celebration.</t>
        </is>
      </c>
      <c r="F153" s="17" t="inlineStr">
        <is>
          <t>Lifecycle</t>
        </is>
      </c>
      <c r="G153" s="21" t="inlineStr">
        <is>
          <t>Janam aur Naamkaran (¶4)</t>
        </is>
      </c>
      <c r="H153" s="22" t="inlineStr"/>
      <c r="I153" s="22" t="inlineStr"/>
      <c r="J153" s="22" t="inlineStr"/>
      <c r="K153" s="22" t="inlineStr"/>
      <c r="L153" s="22" t="inlineStr"/>
      <c r="M153" s="22" t="inlineStr"/>
      <c r="N153" s="22" t="inlineStr"/>
      <c r="O153" s="23">
        <f>COUNTIF(H153:N153,"&gt;=3")</f>
        <v/>
      </c>
      <c r="P153" s="24">
        <f>IF(COUNT(H153:N153)=0,"",COUNTIF(H153:N153,"&gt;=3")/COUNT(H153:N153))</f>
        <v/>
      </c>
      <c r="Q153" s="25">
        <f>IF(COUNT(H153:N153)=0,"",AVERAGE(H153:N153))</f>
        <v/>
      </c>
      <c r="R153" s="25">
        <f>IF(COUNT(H153:N153)&lt;2,"",STDEV(H153:N153))</f>
        <v/>
      </c>
      <c r="S153" s="26">
        <f>IF(COUNT(H153:N153)=0,"",COMBIN(COUNT(H153:N153),COUNTIF(H153:N153,"&gt;=3"))*0.5^COUNT(H153:N153))</f>
        <v/>
      </c>
      <c r="T153" s="25">
        <f>IFERROR(IF(P153="","",(P153-S153)/(1-S153)),"")</f>
        <v/>
      </c>
      <c r="U153" s="27">
        <f>IF(P153="","Awaiting",IF(P153&gt;=CVI_PASS,"PASS",IF(P153&gt;=CVI_BORDER,"BORDERLINE","FAIL")))</f>
        <v/>
      </c>
    </row>
    <row r="154">
      <c r="A154" s="9" t="inlineStr">
        <is>
          <t>S005</t>
        </is>
      </c>
      <c r="B154" s="17" t="inlineStr">
        <is>
          <t>Story Paragraph</t>
        </is>
      </c>
      <c r="C154" s="18" t="inlineStr">
        <is>
          <t>ज़नम अउर नामकरन कय विधि निकासन है ।</t>
        </is>
      </c>
      <c r="D154" s="19" t="inlineStr"/>
      <c r="E154" s="20" t="inlineStr">
        <is>
          <t>The ceremony of birth and naming is called 'Nikasan'.</t>
        </is>
      </c>
      <c r="F154" s="17" t="inlineStr">
        <is>
          <t>Lifecycle</t>
        </is>
      </c>
      <c r="G154" s="21" t="inlineStr">
        <is>
          <t>Janam aur Naamkaran (¶5)</t>
        </is>
      </c>
      <c r="H154" s="22" t="inlineStr"/>
      <c r="I154" s="22" t="inlineStr"/>
      <c r="J154" s="22" t="inlineStr"/>
      <c r="K154" s="22" t="inlineStr"/>
      <c r="L154" s="22" t="inlineStr"/>
      <c r="M154" s="22" t="inlineStr"/>
      <c r="N154" s="22" t="inlineStr"/>
      <c r="O154" s="23">
        <f>COUNTIF(H154:N154,"&gt;=3")</f>
        <v/>
      </c>
      <c r="P154" s="24">
        <f>IF(COUNT(H154:N154)=0,"",COUNTIF(H154:N154,"&gt;=3")/COUNT(H154:N154))</f>
        <v/>
      </c>
      <c r="Q154" s="25">
        <f>IF(COUNT(H154:N154)=0,"",AVERAGE(H154:N154))</f>
        <v/>
      </c>
      <c r="R154" s="25">
        <f>IF(COUNT(H154:N154)&lt;2,"",STDEV(H154:N154))</f>
        <v/>
      </c>
      <c r="S154" s="26">
        <f>IF(COUNT(H154:N154)=0,"",COMBIN(COUNT(H154:N154),COUNTIF(H154:N154,"&gt;=3"))*0.5^COUNT(H154:N154))</f>
        <v/>
      </c>
      <c r="T154" s="25">
        <f>IFERROR(IF(P154="","",(P154-S154)/(1-S154)),"")</f>
        <v/>
      </c>
      <c r="U154" s="27">
        <f>IF(P154="","Awaiting",IF(P154&gt;=CVI_PASS,"PASS",IF(P154&gt;=CVI_BORDER,"BORDERLINE","FAIL")))</f>
        <v/>
      </c>
    </row>
    <row r="155">
      <c r="A155" s="9" t="inlineStr">
        <is>
          <t>S006</t>
        </is>
      </c>
      <c r="B155" s="17" t="inlineStr">
        <is>
          <t>Story Paragraph</t>
        </is>
      </c>
      <c r="C155" s="18" t="inlineStr">
        <is>
          <t>जनम अउर नामकरन के रसम का निकासन कहा थीं वोहमा भोज हुअत है भोज मा पूडी -सब्जी,हलुआ ,दही खीर आदि भोज लगता है ।</t>
        </is>
      </c>
      <c r="D155" s="19" t="inlineStr"/>
      <c r="E155" s="20" t="inlineStr">
        <is>
          <t>This ceremony is called Nikasan — a feast is held with puri-sabzi, halwa, yogurt, and kheer.</t>
        </is>
      </c>
      <c r="F155" s="17" t="inlineStr">
        <is>
          <t>Lifecycle</t>
        </is>
      </c>
      <c r="G155" s="21" t="inlineStr">
        <is>
          <t>Janam aur Naamkaran (¶6)</t>
        </is>
      </c>
      <c r="H155" s="22" t="inlineStr"/>
      <c r="I155" s="22" t="inlineStr"/>
      <c r="J155" s="22" t="inlineStr"/>
      <c r="K155" s="22" t="inlineStr"/>
      <c r="L155" s="22" t="inlineStr"/>
      <c r="M155" s="22" t="inlineStr"/>
      <c r="N155" s="22" t="inlineStr"/>
      <c r="O155" s="23">
        <f>COUNTIF(H155:N155,"&gt;=3")</f>
        <v/>
      </c>
      <c r="P155" s="24">
        <f>IF(COUNT(H155:N155)=0,"",COUNTIF(H155:N155,"&gt;=3")/COUNT(H155:N155))</f>
        <v/>
      </c>
      <c r="Q155" s="25">
        <f>IF(COUNT(H155:N155)=0,"",AVERAGE(H155:N155))</f>
        <v/>
      </c>
      <c r="R155" s="25">
        <f>IF(COUNT(H155:N155)&lt;2,"",STDEV(H155:N155))</f>
        <v/>
      </c>
      <c r="S155" s="26">
        <f>IF(COUNT(H155:N155)=0,"",COMBIN(COUNT(H155:N155),COUNTIF(H155:N155,"&gt;=3"))*0.5^COUNT(H155:N155))</f>
        <v/>
      </c>
      <c r="T155" s="25">
        <f>IFERROR(IF(P155="","",(P155-S155)/(1-S155)),"")</f>
        <v/>
      </c>
      <c r="U155" s="27">
        <f>IF(P155="","Awaiting",IF(P155&gt;=CVI_PASS,"PASS",IF(P155&gt;=CVI_BORDER,"BORDERLINE","FAIL")))</f>
        <v/>
      </c>
    </row>
    <row r="156">
      <c r="A156" s="9" t="inlineStr">
        <is>
          <t>S007</t>
        </is>
      </c>
      <c r="B156" s="17" t="inlineStr">
        <is>
          <t>Story Paragraph</t>
        </is>
      </c>
      <c r="C156" s="18" t="inlineStr">
        <is>
          <t>जनम अउर नामकरन के समय व्यवस्था वोहकय महतारी-बाप ,घर वालेन करा थीं ।</t>
        </is>
      </c>
      <c r="D156" s="19" t="inlineStr"/>
      <c r="E156" s="20" t="inlineStr">
        <is>
          <t>All arrangements are made by the child's parents and family.</t>
        </is>
      </c>
      <c r="F156" s="17" t="inlineStr">
        <is>
          <t>Lifecycle</t>
        </is>
      </c>
      <c r="G156" s="21" t="inlineStr">
        <is>
          <t>Janam aur Naamkaran (¶7)</t>
        </is>
      </c>
      <c r="H156" s="22" t="inlineStr"/>
      <c r="I156" s="22" t="inlineStr"/>
      <c r="J156" s="22" t="inlineStr"/>
      <c r="K156" s="22" t="inlineStr"/>
      <c r="L156" s="22" t="inlineStr"/>
      <c r="M156" s="22" t="inlineStr"/>
      <c r="N156" s="22" t="inlineStr"/>
      <c r="O156" s="23">
        <f>COUNTIF(H156:N156,"&gt;=3")</f>
        <v/>
      </c>
      <c r="P156" s="24">
        <f>IF(COUNT(H156:N156)=0,"",COUNTIF(H156:N156,"&gt;=3")/COUNT(H156:N156))</f>
        <v/>
      </c>
      <c r="Q156" s="25">
        <f>IF(COUNT(H156:N156)=0,"",AVERAGE(H156:N156))</f>
        <v/>
      </c>
      <c r="R156" s="25">
        <f>IF(COUNT(H156:N156)&lt;2,"",STDEV(H156:N156))</f>
        <v/>
      </c>
      <c r="S156" s="26">
        <f>IF(COUNT(H156:N156)=0,"",COMBIN(COUNT(H156:N156),COUNTIF(H156:N156,"&gt;=3"))*0.5^COUNT(H156:N156))</f>
        <v/>
      </c>
      <c r="T156" s="25">
        <f>IFERROR(IF(P156="","",(P156-S156)/(1-S156)),"")</f>
        <v/>
      </c>
      <c r="U156" s="27">
        <f>IF(P156="","Awaiting",IF(P156&gt;=CVI_PASS,"PASS",IF(P156&gt;=CVI_BORDER,"BORDERLINE","FAIL")))</f>
        <v/>
      </c>
    </row>
    <row r="157">
      <c r="A157" s="9" t="inlineStr">
        <is>
          <t>S008</t>
        </is>
      </c>
      <c r="B157" s="17" t="inlineStr">
        <is>
          <t>Story Vocab</t>
        </is>
      </c>
      <c r="C157" s="18" t="inlineStr">
        <is>
          <t>जनम</t>
        </is>
      </c>
      <c r="D157" s="19" t="inlineStr">
        <is>
          <t>Janam</t>
        </is>
      </c>
      <c r="E157" s="20" t="inlineStr">
        <is>
          <t>Birth</t>
        </is>
      </c>
      <c r="F157" s="17" t="inlineStr">
        <is>
          <t>Lifecycle</t>
        </is>
      </c>
      <c r="G157" s="21" t="inlineStr">
        <is>
          <t>Vocab from "Janam aur Naamkaran"</t>
        </is>
      </c>
      <c r="H157" s="22" t="inlineStr"/>
      <c r="I157" s="22" t="inlineStr"/>
      <c r="J157" s="22" t="inlineStr"/>
      <c r="K157" s="22" t="inlineStr"/>
      <c r="L157" s="22" t="inlineStr"/>
      <c r="M157" s="22" t="inlineStr"/>
      <c r="N157" s="22" t="inlineStr"/>
      <c r="O157" s="23">
        <f>COUNTIF(H157:N157,"&gt;=3")</f>
        <v/>
      </c>
      <c r="P157" s="24">
        <f>IF(COUNT(H157:N157)=0,"",COUNTIF(H157:N157,"&gt;=3")/COUNT(H157:N157))</f>
        <v/>
      </c>
      <c r="Q157" s="25">
        <f>IF(COUNT(H157:N157)=0,"",AVERAGE(H157:N157))</f>
        <v/>
      </c>
      <c r="R157" s="25">
        <f>IF(COUNT(H157:N157)&lt;2,"",STDEV(H157:N157))</f>
        <v/>
      </c>
      <c r="S157" s="26">
        <f>IF(COUNT(H157:N157)=0,"",COMBIN(COUNT(H157:N157),COUNTIF(H157:N157,"&gt;=3"))*0.5^COUNT(H157:N157))</f>
        <v/>
      </c>
      <c r="T157" s="25">
        <f>IFERROR(IF(P157="","",(P157-S157)/(1-S157)),"")</f>
        <v/>
      </c>
      <c r="U157" s="27">
        <f>IF(P157="","Awaiting",IF(P157&gt;=CVI_PASS,"PASS",IF(P157&gt;=CVI_BORDER,"BORDERLINE","FAIL")))</f>
        <v/>
      </c>
    </row>
    <row r="158">
      <c r="A158" s="9" t="inlineStr">
        <is>
          <t>S009</t>
        </is>
      </c>
      <c r="B158" s="17" t="inlineStr">
        <is>
          <t>Story Vocab</t>
        </is>
      </c>
      <c r="C158" s="18" t="inlineStr">
        <is>
          <t>नामकरन</t>
        </is>
      </c>
      <c r="D158" s="19" t="inlineStr">
        <is>
          <t>Naamkaran</t>
        </is>
      </c>
      <c r="E158" s="20" t="inlineStr">
        <is>
          <t>Naming Ceremony</t>
        </is>
      </c>
      <c r="F158" s="17" t="inlineStr">
        <is>
          <t>Lifecycle</t>
        </is>
      </c>
      <c r="G158" s="21" t="inlineStr">
        <is>
          <t>Vocab from "Janam aur Naamkaran"</t>
        </is>
      </c>
      <c r="H158" s="22" t="inlineStr"/>
      <c r="I158" s="22" t="inlineStr"/>
      <c r="J158" s="22" t="inlineStr"/>
      <c r="K158" s="22" t="inlineStr"/>
      <c r="L158" s="22" t="inlineStr"/>
      <c r="M158" s="22" t="inlineStr"/>
      <c r="N158" s="22" t="inlineStr"/>
      <c r="O158" s="23">
        <f>COUNTIF(H158:N158,"&gt;=3")</f>
        <v/>
      </c>
      <c r="P158" s="24">
        <f>IF(COUNT(H158:N158)=0,"",COUNTIF(H158:N158,"&gt;=3")/COUNT(H158:N158))</f>
        <v/>
      </c>
      <c r="Q158" s="25">
        <f>IF(COUNT(H158:N158)=0,"",AVERAGE(H158:N158))</f>
        <v/>
      </c>
      <c r="R158" s="25">
        <f>IF(COUNT(H158:N158)&lt;2,"",STDEV(H158:N158))</f>
        <v/>
      </c>
      <c r="S158" s="26">
        <f>IF(COUNT(H158:N158)=0,"",COMBIN(COUNT(H158:N158),COUNTIF(H158:N158,"&gt;=3"))*0.5^COUNT(H158:N158))</f>
        <v/>
      </c>
      <c r="T158" s="25">
        <f>IFERROR(IF(P158="","",(P158-S158)/(1-S158)),"")</f>
        <v/>
      </c>
      <c r="U158" s="27">
        <f>IF(P158="","Awaiting",IF(P158&gt;=CVI_PASS,"PASS",IF(P158&gt;=CVI_BORDER,"BORDERLINE","FAIL")))</f>
        <v/>
      </c>
    </row>
    <row r="159">
      <c r="A159" s="9" t="inlineStr">
        <is>
          <t>S010</t>
        </is>
      </c>
      <c r="B159" s="17" t="inlineStr">
        <is>
          <t>Story Vocab</t>
        </is>
      </c>
      <c r="C159" s="18" t="inlineStr">
        <is>
          <t>पंडित</t>
        </is>
      </c>
      <c r="D159" s="19" t="inlineStr">
        <is>
          <t>Pandit</t>
        </is>
      </c>
      <c r="E159" s="20" t="inlineStr">
        <is>
          <t>Priest</t>
        </is>
      </c>
      <c r="F159" s="17" t="inlineStr">
        <is>
          <t>Lifecycle</t>
        </is>
      </c>
      <c r="G159" s="21" t="inlineStr">
        <is>
          <t>Vocab from "Janam aur Naamkaran"</t>
        </is>
      </c>
      <c r="H159" s="22" t="inlineStr"/>
      <c r="I159" s="22" t="inlineStr"/>
      <c r="J159" s="22" t="inlineStr"/>
      <c r="K159" s="22" t="inlineStr"/>
      <c r="L159" s="22" t="inlineStr"/>
      <c r="M159" s="22" t="inlineStr"/>
      <c r="N159" s="22" t="inlineStr"/>
      <c r="O159" s="23">
        <f>COUNTIF(H159:N159,"&gt;=3")</f>
        <v/>
      </c>
      <c r="P159" s="24">
        <f>IF(COUNT(H159:N159)=0,"",COUNTIF(H159:N159,"&gt;=3")/COUNT(H159:N159))</f>
        <v/>
      </c>
      <c r="Q159" s="25">
        <f>IF(COUNT(H159:N159)=0,"",AVERAGE(H159:N159))</f>
        <v/>
      </c>
      <c r="R159" s="25">
        <f>IF(COUNT(H159:N159)&lt;2,"",STDEV(H159:N159))</f>
        <v/>
      </c>
      <c r="S159" s="26">
        <f>IF(COUNT(H159:N159)=0,"",COMBIN(COUNT(H159:N159),COUNTIF(H159:N159,"&gt;=3"))*0.5^COUNT(H159:N159))</f>
        <v/>
      </c>
      <c r="T159" s="25">
        <f>IFERROR(IF(P159="","",(P159-S159)/(1-S159)),"")</f>
        <v/>
      </c>
      <c r="U159" s="27">
        <f>IF(P159="","Awaiting",IF(P159&gt;=CVI_PASS,"PASS",IF(P159&gt;=CVI_BORDER,"BORDERLINE","FAIL")))</f>
        <v/>
      </c>
    </row>
    <row r="160">
      <c r="A160" s="9" t="inlineStr">
        <is>
          <t>S011</t>
        </is>
      </c>
      <c r="B160" s="17" t="inlineStr">
        <is>
          <t>Story Vocab</t>
        </is>
      </c>
      <c r="C160" s="18" t="inlineStr">
        <is>
          <t>निकासन</t>
        </is>
      </c>
      <c r="D160" s="19" t="inlineStr">
        <is>
          <t>Nikasan</t>
        </is>
      </c>
      <c r="E160" s="20" t="inlineStr">
        <is>
          <t>Coming-out Ceremony</t>
        </is>
      </c>
      <c r="F160" s="17" t="inlineStr">
        <is>
          <t>Lifecycle</t>
        </is>
      </c>
      <c r="G160" s="21" t="inlineStr">
        <is>
          <t>Vocab from "Janam aur Naamkaran"</t>
        </is>
      </c>
      <c r="H160" s="22" t="inlineStr"/>
      <c r="I160" s="22" t="inlineStr"/>
      <c r="J160" s="22" t="inlineStr"/>
      <c r="K160" s="22" t="inlineStr"/>
      <c r="L160" s="22" t="inlineStr"/>
      <c r="M160" s="22" t="inlineStr"/>
      <c r="N160" s="22" t="inlineStr"/>
      <c r="O160" s="23">
        <f>COUNTIF(H160:N160,"&gt;=3")</f>
        <v/>
      </c>
      <c r="P160" s="24">
        <f>IF(COUNT(H160:N160)=0,"",COUNTIF(H160:N160,"&gt;=3")/COUNT(H160:N160))</f>
        <v/>
      </c>
      <c r="Q160" s="25">
        <f>IF(COUNT(H160:N160)=0,"",AVERAGE(H160:N160))</f>
        <v/>
      </c>
      <c r="R160" s="25">
        <f>IF(COUNT(H160:N160)&lt;2,"",STDEV(H160:N160))</f>
        <v/>
      </c>
      <c r="S160" s="26">
        <f>IF(COUNT(H160:N160)=0,"",COMBIN(COUNT(H160:N160),COUNTIF(H160:N160,"&gt;=3"))*0.5^COUNT(H160:N160))</f>
        <v/>
      </c>
      <c r="T160" s="25">
        <f>IFERROR(IF(P160="","",(P160-S160)/(1-S160)),"")</f>
        <v/>
      </c>
      <c r="U160" s="27">
        <f>IF(P160="","Awaiting",IF(P160&gt;=CVI_PASS,"PASS",IF(P160&gt;=CVI_BORDER,"BORDERLINE","FAIL")))</f>
        <v/>
      </c>
    </row>
    <row r="161">
      <c r="A161" s="9" t="inlineStr">
        <is>
          <t>S012</t>
        </is>
      </c>
      <c r="B161" s="17" t="inlineStr">
        <is>
          <t>Story Vocab</t>
        </is>
      </c>
      <c r="C161" s="18" t="inlineStr">
        <is>
          <t>भोज</t>
        </is>
      </c>
      <c r="D161" s="19" t="inlineStr">
        <is>
          <t>Bhoj</t>
        </is>
      </c>
      <c r="E161" s="20" t="inlineStr">
        <is>
          <t>Feast</t>
        </is>
      </c>
      <c r="F161" s="17" t="inlineStr">
        <is>
          <t>Lifecycle</t>
        </is>
      </c>
      <c r="G161" s="21" t="inlineStr">
        <is>
          <t>Vocab from "Janam aur Naamkaran"</t>
        </is>
      </c>
      <c r="H161" s="22" t="inlineStr"/>
      <c r="I161" s="22" t="inlineStr"/>
      <c r="J161" s="22" t="inlineStr"/>
      <c r="K161" s="22" t="inlineStr"/>
      <c r="L161" s="22" t="inlineStr"/>
      <c r="M161" s="22" t="inlineStr"/>
      <c r="N161" s="22" t="inlineStr"/>
      <c r="O161" s="23">
        <f>COUNTIF(H161:N161,"&gt;=3")</f>
        <v/>
      </c>
      <c r="P161" s="24">
        <f>IF(COUNT(H161:N161)=0,"",COUNTIF(H161:N161,"&gt;=3")/COUNT(H161:N161))</f>
        <v/>
      </c>
      <c r="Q161" s="25">
        <f>IF(COUNT(H161:N161)=0,"",AVERAGE(H161:N161))</f>
        <v/>
      </c>
      <c r="R161" s="25">
        <f>IF(COUNT(H161:N161)&lt;2,"",STDEV(H161:N161))</f>
        <v/>
      </c>
      <c r="S161" s="26">
        <f>IF(COUNT(H161:N161)=0,"",COMBIN(COUNT(H161:N161),COUNTIF(H161:N161,"&gt;=3"))*0.5^COUNT(H161:N161))</f>
        <v/>
      </c>
      <c r="T161" s="25">
        <f>IFERROR(IF(P161="","",(P161-S161)/(1-S161)),"")</f>
        <v/>
      </c>
      <c r="U161" s="27">
        <f>IF(P161="","Awaiting",IF(P161&gt;=CVI_PASS,"PASS",IF(P161&gt;=CVI_BORDER,"BORDERLINE","FAIL")))</f>
        <v/>
      </c>
    </row>
    <row r="162">
      <c r="A162" s="9" t="inlineStr">
        <is>
          <t>S013</t>
        </is>
      </c>
      <c r="B162" s="17" t="inlineStr">
        <is>
          <t>Story Paragraph</t>
        </is>
      </c>
      <c r="C162" s="18" t="inlineStr">
        <is>
          <t>हमरे समाज मा शादी से सम्बन्धित रसम लगन,तिलक ,विवाह होत है ।</t>
        </is>
      </c>
      <c r="D162" s="19" t="inlineStr"/>
      <c r="E162" s="20" t="inlineStr">
        <is>
          <t>In our society, wedding rituals include the engagement (Lagan), Tilak ceremony, and the marriage.</t>
        </is>
      </c>
      <c r="F162" s="17" t="inlineStr">
        <is>
          <t>Lifecycle</t>
        </is>
      </c>
      <c r="G162" s="21" t="inlineStr">
        <is>
          <t>Biaah ki Rasm (¶1)</t>
        </is>
      </c>
      <c r="H162" s="22" t="inlineStr"/>
      <c r="I162" s="22" t="inlineStr"/>
      <c r="J162" s="22" t="inlineStr"/>
      <c r="K162" s="22" t="inlineStr"/>
      <c r="L162" s="22" t="inlineStr"/>
      <c r="M162" s="22" t="inlineStr"/>
      <c r="N162" s="22" t="inlineStr"/>
      <c r="O162" s="23">
        <f>COUNTIF(H162:N162,"&gt;=3")</f>
        <v/>
      </c>
      <c r="P162" s="24">
        <f>IF(COUNT(H162:N162)=0,"",COUNTIF(H162:N162,"&gt;=3")/COUNT(H162:N162))</f>
        <v/>
      </c>
      <c r="Q162" s="25">
        <f>IF(COUNT(H162:N162)=0,"",AVERAGE(H162:N162))</f>
        <v/>
      </c>
      <c r="R162" s="25">
        <f>IF(COUNT(H162:N162)&lt;2,"",STDEV(H162:N162))</f>
        <v/>
      </c>
      <c r="S162" s="26">
        <f>IF(COUNT(H162:N162)=0,"",COMBIN(COUNT(H162:N162),COUNTIF(H162:N162,"&gt;=3"))*0.5^COUNT(H162:N162))</f>
        <v/>
      </c>
      <c r="T162" s="25">
        <f>IFERROR(IF(P162="","",(P162-S162)/(1-S162)),"")</f>
        <v/>
      </c>
      <c r="U162" s="27">
        <f>IF(P162="","Awaiting",IF(P162&gt;=CVI_PASS,"PASS",IF(P162&gt;=CVI_BORDER,"BORDERLINE","FAIL")))</f>
        <v/>
      </c>
    </row>
    <row r="163">
      <c r="A163" s="9" t="inlineStr">
        <is>
          <t>S014</t>
        </is>
      </c>
      <c r="B163" s="17" t="inlineStr">
        <is>
          <t>Story Paragraph</t>
        </is>
      </c>
      <c r="C163" s="18" t="inlineStr">
        <is>
          <t>समान्यत: लडकी के घर पय बिआह कय रसम लडका अउर लडकी के बालिग होय पय होत है।</t>
        </is>
      </c>
      <c r="D163" s="19" t="inlineStr"/>
      <c r="E163" s="20" t="inlineStr">
        <is>
          <t>Generally, the wedding ceremony happens at the bride's home when the boy and girl come of age.</t>
        </is>
      </c>
      <c r="F163" s="17" t="inlineStr">
        <is>
          <t>Lifecycle</t>
        </is>
      </c>
      <c r="G163" s="21" t="inlineStr">
        <is>
          <t>Biaah ki Rasm (¶2)</t>
        </is>
      </c>
      <c r="H163" s="22" t="inlineStr"/>
      <c r="I163" s="22" t="inlineStr"/>
      <c r="J163" s="22" t="inlineStr"/>
      <c r="K163" s="22" t="inlineStr"/>
      <c r="L163" s="22" t="inlineStr"/>
      <c r="M163" s="22" t="inlineStr"/>
      <c r="N163" s="22" t="inlineStr"/>
      <c r="O163" s="23">
        <f>COUNTIF(H163:N163,"&gt;=3")</f>
        <v/>
      </c>
      <c r="P163" s="24">
        <f>IF(COUNT(H163:N163)=0,"",COUNTIF(H163:N163,"&gt;=3")/COUNT(H163:N163))</f>
        <v/>
      </c>
      <c r="Q163" s="25">
        <f>IF(COUNT(H163:N163)=0,"",AVERAGE(H163:N163))</f>
        <v/>
      </c>
      <c r="R163" s="25">
        <f>IF(COUNT(H163:N163)&lt;2,"",STDEV(H163:N163))</f>
        <v/>
      </c>
      <c r="S163" s="26">
        <f>IF(COUNT(H163:N163)=0,"",COMBIN(COUNT(H163:N163),COUNTIF(H163:N163,"&gt;=3"))*0.5^COUNT(H163:N163))</f>
        <v/>
      </c>
      <c r="T163" s="25">
        <f>IFERROR(IF(P163="","",(P163-S163)/(1-S163)),"")</f>
        <v/>
      </c>
      <c r="U163" s="27">
        <f>IF(P163="","Awaiting",IF(P163&gt;=CVI_PASS,"PASS",IF(P163&gt;=CVI_BORDER,"BORDERLINE","FAIL")))</f>
        <v/>
      </c>
    </row>
    <row r="164">
      <c r="A164" s="9" t="inlineStr">
        <is>
          <t>S015</t>
        </is>
      </c>
      <c r="B164" s="17" t="inlineStr">
        <is>
          <t>Story Paragraph</t>
        </is>
      </c>
      <c r="C164" s="18" t="inlineStr">
        <is>
          <t>बिआह कय रसम दिन के समय पंडित द्वारा वर अउर वधु कय जन्म पत्रिका देख के कीन जात है।</t>
        </is>
      </c>
      <c r="D164" s="19" t="inlineStr"/>
      <c r="E164" s="20" t="inlineStr">
        <is>
          <t>The wedding ritual is conducted during the day by the priest after checking the horoscopes of the bride and groom.</t>
        </is>
      </c>
      <c r="F164" s="17" t="inlineStr">
        <is>
          <t>Lifecycle</t>
        </is>
      </c>
      <c r="G164" s="21" t="inlineStr">
        <is>
          <t>Biaah ki Rasm (¶3)</t>
        </is>
      </c>
      <c r="H164" s="22" t="inlineStr"/>
      <c r="I164" s="22" t="inlineStr"/>
      <c r="J164" s="22" t="inlineStr"/>
      <c r="K164" s="22" t="inlineStr"/>
      <c r="L164" s="22" t="inlineStr"/>
      <c r="M164" s="22" t="inlineStr"/>
      <c r="N164" s="22" t="inlineStr"/>
      <c r="O164" s="23">
        <f>COUNTIF(H164:N164,"&gt;=3")</f>
        <v/>
      </c>
      <c r="P164" s="24">
        <f>IF(COUNT(H164:N164)=0,"",COUNTIF(H164:N164,"&gt;=3")/COUNT(H164:N164))</f>
        <v/>
      </c>
      <c r="Q164" s="25">
        <f>IF(COUNT(H164:N164)=0,"",AVERAGE(H164:N164))</f>
        <v/>
      </c>
      <c r="R164" s="25">
        <f>IF(COUNT(H164:N164)&lt;2,"",STDEV(H164:N164))</f>
        <v/>
      </c>
      <c r="S164" s="26">
        <f>IF(COUNT(H164:N164)=0,"",COMBIN(COUNT(H164:N164),COUNTIF(H164:N164,"&gt;=3"))*0.5^COUNT(H164:N164))</f>
        <v/>
      </c>
      <c r="T164" s="25">
        <f>IFERROR(IF(P164="","",(P164-S164)/(1-S164)),"")</f>
        <v/>
      </c>
      <c r="U164" s="27">
        <f>IF(P164="","Awaiting",IF(P164&gt;=CVI_PASS,"PASS",IF(P164&gt;=CVI_BORDER,"BORDERLINE","FAIL")))</f>
        <v/>
      </c>
    </row>
    <row r="165">
      <c r="A165" s="9" t="inlineStr">
        <is>
          <t>S016</t>
        </is>
      </c>
      <c r="B165" s="17" t="inlineStr">
        <is>
          <t>Story Paragraph</t>
        </is>
      </c>
      <c r="C165" s="18" t="inlineStr">
        <is>
          <t>बिआह के रसम मुख्यत: सिन्दूर दान ,सात फ़ेरा आदि हुअत है ।</t>
        </is>
      </c>
      <c r="D165" s="19" t="inlineStr"/>
      <c r="E165" s="20" t="inlineStr">
        <is>
          <t>The main wedding rituals are the Sindoor ceremony and the seven sacred rounds around the fire.</t>
        </is>
      </c>
      <c r="F165" s="17" t="inlineStr">
        <is>
          <t>Lifecycle</t>
        </is>
      </c>
      <c r="G165" s="21" t="inlineStr">
        <is>
          <t>Biaah ki Rasm (¶4)</t>
        </is>
      </c>
      <c r="H165" s="22" t="inlineStr"/>
      <c r="I165" s="22" t="inlineStr"/>
      <c r="J165" s="22" t="inlineStr"/>
      <c r="K165" s="22" t="inlineStr"/>
      <c r="L165" s="22" t="inlineStr"/>
      <c r="M165" s="22" t="inlineStr"/>
      <c r="N165" s="22" t="inlineStr"/>
      <c r="O165" s="23">
        <f>COUNTIF(H165:N165,"&gt;=3")</f>
        <v/>
      </c>
      <c r="P165" s="24">
        <f>IF(COUNT(H165:N165)=0,"",COUNTIF(H165:N165,"&gt;=3")/COUNT(H165:N165))</f>
        <v/>
      </c>
      <c r="Q165" s="25">
        <f>IF(COUNT(H165:N165)=0,"",AVERAGE(H165:N165))</f>
        <v/>
      </c>
      <c r="R165" s="25">
        <f>IF(COUNT(H165:N165)&lt;2,"",STDEV(H165:N165))</f>
        <v/>
      </c>
      <c r="S165" s="26">
        <f>IF(COUNT(H165:N165)=0,"",COMBIN(COUNT(H165:N165),COUNTIF(H165:N165,"&gt;=3"))*0.5^COUNT(H165:N165))</f>
        <v/>
      </c>
      <c r="T165" s="25">
        <f>IFERROR(IF(P165="","",(P165-S165)/(1-S165)),"")</f>
        <v/>
      </c>
      <c r="U165" s="27">
        <f>IF(P165="","Awaiting",IF(P165&gt;=CVI_PASS,"PASS",IF(P165&gt;=CVI_BORDER,"BORDERLINE","FAIL")))</f>
        <v/>
      </c>
    </row>
    <row r="166">
      <c r="A166" s="9" t="inlineStr">
        <is>
          <t>S017</t>
        </is>
      </c>
      <c r="B166" s="17" t="inlineStr">
        <is>
          <t>Story Paragraph</t>
        </is>
      </c>
      <c r="C166" s="18" t="inlineStr">
        <is>
          <t>बिआह के रसम मा घर के रिश्तेदार गाँव वाले बुआ ,काका ,फ़ुफ़ा,मामा,मौसी आदि लोग न्योता जा थीं ।</t>
        </is>
      </c>
      <c r="D166" s="19" t="inlineStr"/>
      <c r="E166" s="20" t="inlineStr">
        <is>
          <t>Family members, villagers, aunts, uncles — all were invited to the wedding ceremony.</t>
        </is>
      </c>
      <c r="F166" s="17" t="inlineStr">
        <is>
          <t>Lifecycle</t>
        </is>
      </c>
      <c r="G166" s="21" t="inlineStr">
        <is>
          <t>Biaah ki Rasm (¶5)</t>
        </is>
      </c>
      <c r="H166" s="22" t="inlineStr"/>
      <c r="I166" s="22" t="inlineStr"/>
      <c r="J166" s="22" t="inlineStr"/>
      <c r="K166" s="22" t="inlineStr"/>
      <c r="L166" s="22" t="inlineStr"/>
      <c r="M166" s="22" t="inlineStr"/>
      <c r="N166" s="22" t="inlineStr"/>
      <c r="O166" s="23">
        <f>COUNTIF(H166:N166,"&gt;=3")</f>
        <v/>
      </c>
      <c r="P166" s="24">
        <f>IF(COUNT(H166:N166)=0,"",COUNTIF(H166:N166,"&gt;=3")/COUNT(H166:N166))</f>
        <v/>
      </c>
      <c r="Q166" s="25">
        <f>IF(COUNT(H166:N166)=0,"",AVERAGE(H166:N166))</f>
        <v/>
      </c>
      <c r="R166" s="25">
        <f>IF(COUNT(H166:N166)&lt;2,"",STDEV(H166:N166))</f>
        <v/>
      </c>
      <c r="S166" s="26">
        <f>IF(COUNT(H166:N166)=0,"",COMBIN(COUNT(H166:N166),COUNTIF(H166:N166,"&gt;=3"))*0.5^COUNT(H166:N166))</f>
        <v/>
      </c>
      <c r="T166" s="25">
        <f>IFERROR(IF(P166="","",(P166-S166)/(1-S166)),"")</f>
        <v/>
      </c>
      <c r="U166" s="27">
        <f>IF(P166="","Awaiting",IF(P166&gt;=CVI_PASS,"PASS",IF(P166&gt;=CVI_BORDER,"BORDERLINE","FAIL")))</f>
        <v/>
      </c>
    </row>
    <row r="167">
      <c r="A167" s="9" t="inlineStr">
        <is>
          <t>S018</t>
        </is>
      </c>
      <c r="B167" s="17" t="inlineStr">
        <is>
          <t>Story Paragraph</t>
        </is>
      </c>
      <c r="C167" s="18" t="inlineStr">
        <is>
          <t>बिआह के पहिलेव भोज होत है बिआह के बादव भोज होय लाग अहय । भोज मा पुडी-सब्जी खीर मिठाई ,लडडू आदि खाना बनत है ।</t>
        </is>
      </c>
      <c r="D167" s="19" t="inlineStr"/>
      <c r="E167" s="20" t="inlineStr">
        <is>
          <t>There is a feast both before and after the wedding — with puri-sabzi, kheer, sweets, and laddoos.</t>
        </is>
      </c>
      <c r="F167" s="17" t="inlineStr">
        <is>
          <t>Lifecycle</t>
        </is>
      </c>
      <c r="G167" s="21" t="inlineStr">
        <is>
          <t>Biaah ki Rasm (¶6)</t>
        </is>
      </c>
      <c r="H167" s="22" t="inlineStr"/>
      <c r="I167" s="22" t="inlineStr"/>
      <c r="J167" s="22" t="inlineStr"/>
      <c r="K167" s="22" t="inlineStr"/>
      <c r="L167" s="22" t="inlineStr"/>
      <c r="M167" s="22" t="inlineStr"/>
      <c r="N167" s="22" t="inlineStr"/>
      <c r="O167" s="23">
        <f>COUNTIF(H167:N167,"&gt;=3")</f>
        <v/>
      </c>
      <c r="P167" s="24">
        <f>IF(COUNT(H167:N167)=0,"",COUNTIF(H167:N167,"&gt;=3")/COUNT(H167:N167))</f>
        <v/>
      </c>
      <c r="Q167" s="25">
        <f>IF(COUNT(H167:N167)=0,"",AVERAGE(H167:N167))</f>
        <v/>
      </c>
      <c r="R167" s="25">
        <f>IF(COUNT(H167:N167)&lt;2,"",STDEV(H167:N167))</f>
        <v/>
      </c>
      <c r="S167" s="26">
        <f>IF(COUNT(H167:N167)=0,"",COMBIN(COUNT(H167:N167),COUNTIF(H167:N167,"&gt;=3"))*0.5^COUNT(H167:N167))</f>
        <v/>
      </c>
      <c r="T167" s="25">
        <f>IFERROR(IF(P167="","",(P167-S167)/(1-S167)),"")</f>
        <v/>
      </c>
      <c r="U167" s="27">
        <f>IF(P167="","Awaiting",IF(P167&gt;=CVI_PASS,"PASS",IF(P167&gt;=CVI_BORDER,"BORDERLINE","FAIL")))</f>
        <v/>
      </c>
    </row>
    <row r="168">
      <c r="A168" s="9" t="inlineStr">
        <is>
          <t>S019</t>
        </is>
      </c>
      <c r="B168" s="17" t="inlineStr">
        <is>
          <t>Story Paragraph</t>
        </is>
      </c>
      <c r="C168" s="18" t="inlineStr">
        <is>
          <t>बिआह के रसम कय व्यवस्था अउर खर्चा लडकी के माँ-बाप उठावा थीं।</t>
        </is>
      </c>
      <c r="D168" s="19" t="inlineStr"/>
      <c r="E168" s="20" t="inlineStr">
        <is>
          <t>The bride's parents bear all the expenses and arrangements for the wedding.</t>
        </is>
      </c>
      <c r="F168" s="17" t="inlineStr">
        <is>
          <t>Lifecycle</t>
        </is>
      </c>
      <c r="G168" s="21" t="inlineStr">
        <is>
          <t>Biaah ki Rasm (¶7)</t>
        </is>
      </c>
      <c r="H168" s="22" t="inlineStr"/>
      <c r="I168" s="22" t="inlineStr"/>
      <c r="J168" s="22" t="inlineStr"/>
      <c r="K168" s="22" t="inlineStr"/>
      <c r="L168" s="22" t="inlineStr"/>
      <c r="M168" s="22" t="inlineStr"/>
      <c r="N168" s="22" t="inlineStr"/>
      <c r="O168" s="23">
        <f>COUNTIF(H168:N168,"&gt;=3")</f>
        <v/>
      </c>
      <c r="P168" s="24">
        <f>IF(COUNT(H168:N168)=0,"",COUNTIF(H168:N168,"&gt;=3")/COUNT(H168:N168))</f>
        <v/>
      </c>
      <c r="Q168" s="25">
        <f>IF(COUNT(H168:N168)=0,"",AVERAGE(H168:N168))</f>
        <v/>
      </c>
      <c r="R168" s="25">
        <f>IF(COUNT(H168:N168)&lt;2,"",STDEV(H168:N168))</f>
        <v/>
      </c>
      <c r="S168" s="26">
        <f>IF(COUNT(H168:N168)=0,"",COMBIN(COUNT(H168:N168),COUNTIF(H168:N168,"&gt;=3"))*0.5^COUNT(H168:N168))</f>
        <v/>
      </c>
      <c r="T168" s="25">
        <f>IFERROR(IF(P168="","",(P168-S168)/(1-S168)),"")</f>
        <v/>
      </c>
      <c r="U168" s="27">
        <f>IF(P168="","Awaiting",IF(P168&gt;=CVI_PASS,"PASS",IF(P168&gt;=CVI_BORDER,"BORDERLINE","FAIL")))</f>
        <v/>
      </c>
    </row>
    <row r="169">
      <c r="A169" s="9" t="inlineStr">
        <is>
          <t>S020</t>
        </is>
      </c>
      <c r="B169" s="17" t="inlineStr">
        <is>
          <t>Story Vocab</t>
        </is>
      </c>
      <c r="C169" s="18" t="inlineStr">
        <is>
          <t>बिआह</t>
        </is>
      </c>
      <c r="D169" s="19" t="inlineStr">
        <is>
          <t>Biaah</t>
        </is>
      </c>
      <c r="E169" s="20" t="inlineStr">
        <is>
          <t>Wedding</t>
        </is>
      </c>
      <c r="F169" s="17" t="inlineStr">
        <is>
          <t>Lifecycle</t>
        </is>
      </c>
      <c r="G169" s="21" t="inlineStr">
        <is>
          <t>Vocab from "Biaah ki Rasm"</t>
        </is>
      </c>
      <c r="H169" s="22" t="inlineStr"/>
      <c r="I169" s="22" t="inlineStr"/>
      <c r="J169" s="22" t="inlineStr"/>
      <c r="K169" s="22" t="inlineStr"/>
      <c r="L169" s="22" t="inlineStr"/>
      <c r="M169" s="22" t="inlineStr"/>
      <c r="N169" s="22" t="inlineStr"/>
      <c r="O169" s="23">
        <f>COUNTIF(H169:N169,"&gt;=3")</f>
        <v/>
      </c>
      <c r="P169" s="24">
        <f>IF(COUNT(H169:N169)=0,"",COUNTIF(H169:N169,"&gt;=3")/COUNT(H169:N169))</f>
        <v/>
      </c>
      <c r="Q169" s="25">
        <f>IF(COUNT(H169:N169)=0,"",AVERAGE(H169:N169))</f>
        <v/>
      </c>
      <c r="R169" s="25">
        <f>IF(COUNT(H169:N169)&lt;2,"",STDEV(H169:N169))</f>
        <v/>
      </c>
      <c r="S169" s="26">
        <f>IF(COUNT(H169:N169)=0,"",COMBIN(COUNT(H169:N169),COUNTIF(H169:N169,"&gt;=3"))*0.5^COUNT(H169:N169))</f>
        <v/>
      </c>
      <c r="T169" s="25">
        <f>IFERROR(IF(P169="","",(P169-S169)/(1-S169)),"")</f>
        <v/>
      </c>
      <c r="U169" s="27">
        <f>IF(P169="","Awaiting",IF(P169&gt;=CVI_PASS,"PASS",IF(P169&gt;=CVI_BORDER,"BORDERLINE","FAIL")))</f>
        <v/>
      </c>
    </row>
    <row r="170">
      <c r="A170" s="9" t="inlineStr">
        <is>
          <t>S021</t>
        </is>
      </c>
      <c r="B170" s="17" t="inlineStr">
        <is>
          <t>Story Vocab</t>
        </is>
      </c>
      <c r="C170" s="18" t="inlineStr">
        <is>
          <t>तिलक</t>
        </is>
      </c>
      <c r="D170" s="19" t="inlineStr">
        <is>
          <t>Tilak</t>
        </is>
      </c>
      <c r="E170" s="20" t="inlineStr">
        <is>
          <t>Pre-wedding ceremony</t>
        </is>
      </c>
      <c r="F170" s="17" t="inlineStr">
        <is>
          <t>Lifecycle</t>
        </is>
      </c>
      <c r="G170" s="21" t="inlineStr">
        <is>
          <t>Vocab from "Biaah ki Rasm"</t>
        </is>
      </c>
      <c r="H170" s="22" t="inlineStr"/>
      <c r="I170" s="22" t="inlineStr"/>
      <c r="J170" s="22" t="inlineStr"/>
      <c r="K170" s="22" t="inlineStr"/>
      <c r="L170" s="22" t="inlineStr"/>
      <c r="M170" s="22" t="inlineStr"/>
      <c r="N170" s="22" t="inlineStr"/>
      <c r="O170" s="23">
        <f>COUNTIF(H170:N170,"&gt;=3")</f>
        <v/>
      </c>
      <c r="P170" s="24">
        <f>IF(COUNT(H170:N170)=0,"",COUNTIF(H170:N170,"&gt;=3")/COUNT(H170:N170))</f>
        <v/>
      </c>
      <c r="Q170" s="25">
        <f>IF(COUNT(H170:N170)=0,"",AVERAGE(H170:N170))</f>
        <v/>
      </c>
      <c r="R170" s="25">
        <f>IF(COUNT(H170:N170)&lt;2,"",STDEV(H170:N170))</f>
        <v/>
      </c>
      <c r="S170" s="26">
        <f>IF(COUNT(H170:N170)=0,"",COMBIN(COUNT(H170:N170),COUNTIF(H170:N170,"&gt;=3"))*0.5^COUNT(H170:N170))</f>
        <v/>
      </c>
      <c r="T170" s="25">
        <f>IFERROR(IF(P170="","",(P170-S170)/(1-S170)),"")</f>
        <v/>
      </c>
      <c r="U170" s="27">
        <f>IF(P170="","Awaiting",IF(P170&gt;=CVI_PASS,"PASS",IF(P170&gt;=CVI_BORDER,"BORDERLINE","FAIL")))</f>
        <v/>
      </c>
    </row>
    <row r="171">
      <c r="A171" s="9" t="inlineStr">
        <is>
          <t>S022</t>
        </is>
      </c>
      <c r="B171" s="17" t="inlineStr">
        <is>
          <t>Story Vocab</t>
        </is>
      </c>
      <c r="C171" s="18" t="inlineStr">
        <is>
          <t>सिन्दूर</t>
        </is>
      </c>
      <c r="D171" s="19" t="inlineStr">
        <is>
          <t>Sindoor</t>
        </is>
      </c>
      <c r="E171" s="20" t="inlineStr">
        <is>
          <t>Vermilion</t>
        </is>
      </c>
      <c r="F171" s="17" t="inlineStr">
        <is>
          <t>Lifecycle</t>
        </is>
      </c>
      <c r="G171" s="21" t="inlineStr">
        <is>
          <t>Vocab from "Biaah ki Rasm"</t>
        </is>
      </c>
      <c r="H171" s="22" t="inlineStr"/>
      <c r="I171" s="22" t="inlineStr"/>
      <c r="J171" s="22" t="inlineStr"/>
      <c r="K171" s="22" t="inlineStr"/>
      <c r="L171" s="22" t="inlineStr"/>
      <c r="M171" s="22" t="inlineStr"/>
      <c r="N171" s="22" t="inlineStr"/>
      <c r="O171" s="23">
        <f>COUNTIF(H171:N171,"&gt;=3")</f>
        <v/>
      </c>
      <c r="P171" s="24">
        <f>IF(COUNT(H171:N171)=0,"",COUNTIF(H171:N171,"&gt;=3")/COUNT(H171:N171))</f>
        <v/>
      </c>
      <c r="Q171" s="25">
        <f>IF(COUNT(H171:N171)=0,"",AVERAGE(H171:N171))</f>
        <v/>
      </c>
      <c r="R171" s="25">
        <f>IF(COUNT(H171:N171)&lt;2,"",STDEV(H171:N171))</f>
        <v/>
      </c>
      <c r="S171" s="26">
        <f>IF(COUNT(H171:N171)=0,"",COMBIN(COUNT(H171:N171),COUNTIF(H171:N171,"&gt;=3"))*0.5^COUNT(H171:N171))</f>
        <v/>
      </c>
      <c r="T171" s="25">
        <f>IFERROR(IF(P171="","",(P171-S171)/(1-S171)),"")</f>
        <v/>
      </c>
      <c r="U171" s="27">
        <f>IF(P171="","Awaiting",IF(P171&gt;=CVI_PASS,"PASS",IF(P171&gt;=CVI_BORDER,"BORDERLINE","FAIL")))</f>
        <v/>
      </c>
    </row>
    <row r="172">
      <c r="A172" s="9" t="inlineStr">
        <is>
          <t>S023</t>
        </is>
      </c>
      <c r="B172" s="17" t="inlineStr">
        <is>
          <t>Story Vocab</t>
        </is>
      </c>
      <c r="C172" s="18" t="inlineStr">
        <is>
          <t>सात फ़ेरा</t>
        </is>
      </c>
      <c r="D172" s="19" t="inlineStr">
        <is>
          <t>Saat Fera</t>
        </is>
      </c>
      <c r="E172" s="20" t="inlineStr">
        <is>
          <t>Seven Sacred Rounds</t>
        </is>
      </c>
      <c r="F172" s="17" t="inlineStr">
        <is>
          <t>Lifecycle</t>
        </is>
      </c>
      <c r="G172" s="21" t="inlineStr">
        <is>
          <t>Vocab from "Biaah ki Rasm"</t>
        </is>
      </c>
      <c r="H172" s="22" t="inlineStr"/>
      <c r="I172" s="22" t="inlineStr"/>
      <c r="J172" s="22" t="inlineStr"/>
      <c r="K172" s="22" t="inlineStr"/>
      <c r="L172" s="22" t="inlineStr"/>
      <c r="M172" s="22" t="inlineStr"/>
      <c r="N172" s="22" t="inlineStr"/>
      <c r="O172" s="23">
        <f>COUNTIF(H172:N172,"&gt;=3")</f>
        <v/>
      </c>
      <c r="P172" s="24">
        <f>IF(COUNT(H172:N172)=0,"",COUNTIF(H172:N172,"&gt;=3")/COUNT(H172:N172))</f>
        <v/>
      </c>
      <c r="Q172" s="25">
        <f>IF(COUNT(H172:N172)=0,"",AVERAGE(H172:N172))</f>
        <v/>
      </c>
      <c r="R172" s="25">
        <f>IF(COUNT(H172:N172)&lt;2,"",STDEV(H172:N172))</f>
        <v/>
      </c>
      <c r="S172" s="26">
        <f>IF(COUNT(H172:N172)=0,"",COMBIN(COUNT(H172:N172),COUNTIF(H172:N172,"&gt;=3"))*0.5^COUNT(H172:N172))</f>
        <v/>
      </c>
      <c r="T172" s="25">
        <f>IFERROR(IF(P172="","",(P172-S172)/(1-S172)),"")</f>
        <v/>
      </c>
      <c r="U172" s="27">
        <f>IF(P172="","Awaiting",IF(P172&gt;=CVI_PASS,"PASS",IF(P172&gt;=CVI_BORDER,"BORDERLINE","FAIL")))</f>
        <v/>
      </c>
    </row>
    <row r="173">
      <c r="A173" s="9" t="inlineStr">
        <is>
          <t>S024</t>
        </is>
      </c>
      <c r="B173" s="17" t="inlineStr">
        <is>
          <t>Story Vocab</t>
        </is>
      </c>
      <c r="C173" s="18" t="inlineStr">
        <is>
          <t>भोज</t>
        </is>
      </c>
      <c r="D173" s="19" t="inlineStr">
        <is>
          <t>Bhoj</t>
        </is>
      </c>
      <c r="E173" s="20" t="inlineStr">
        <is>
          <t>Feast</t>
        </is>
      </c>
      <c r="F173" s="17" t="inlineStr">
        <is>
          <t>Lifecycle</t>
        </is>
      </c>
      <c r="G173" s="21" t="inlineStr">
        <is>
          <t>Vocab from "Biaah ki Rasm"</t>
        </is>
      </c>
      <c r="H173" s="22" t="inlineStr"/>
      <c r="I173" s="22" t="inlineStr"/>
      <c r="J173" s="22" t="inlineStr"/>
      <c r="K173" s="22" t="inlineStr"/>
      <c r="L173" s="22" t="inlineStr"/>
      <c r="M173" s="22" t="inlineStr"/>
      <c r="N173" s="22" t="inlineStr"/>
      <c r="O173" s="23">
        <f>COUNTIF(H173:N173,"&gt;=3")</f>
        <v/>
      </c>
      <c r="P173" s="24">
        <f>IF(COUNT(H173:N173)=0,"",COUNTIF(H173:N173,"&gt;=3")/COUNT(H173:N173))</f>
        <v/>
      </c>
      <c r="Q173" s="25">
        <f>IF(COUNT(H173:N173)=0,"",AVERAGE(H173:N173))</f>
        <v/>
      </c>
      <c r="R173" s="25">
        <f>IF(COUNT(H173:N173)&lt;2,"",STDEV(H173:N173))</f>
        <v/>
      </c>
      <c r="S173" s="26">
        <f>IF(COUNT(H173:N173)=0,"",COMBIN(COUNT(H173:N173),COUNTIF(H173:N173,"&gt;=3"))*0.5^COUNT(H173:N173))</f>
        <v/>
      </c>
      <c r="T173" s="25">
        <f>IFERROR(IF(P173="","",(P173-S173)/(1-S173)),"")</f>
        <v/>
      </c>
      <c r="U173" s="27">
        <f>IF(P173="","Awaiting",IF(P173&gt;=CVI_PASS,"PASS",IF(P173&gt;=CVI_BORDER,"BORDERLINE","FAIL")))</f>
        <v/>
      </c>
    </row>
    <row r="174">
      <c r="A174" s="9" t="inlineStr">
        <is>
          <t>S025</t>
        </is>
      </c>
      <c r="B174" s="17" t="inlineStr">
        <is>
          <t>Story Paragraph</t>
        </is>
      </c>
      <c r="C174" s="18" t="inlineStr">
        <is>
          <t>हमरे समाज मा मित्यु से सम्बन्धित रसम तेरहवीं अउर वरषी हुआ थै।</t>
        </is>
      </c>
      <c r="D174" s="19" t="inlineStr"/>
      <c r="E174" s="20" t="inlineStr">
        <is>
          <t>In our society, death-related rituals are the 13th-day ceremony (Terhaveen) and the annual memorial (Barsi).</t>
        </is>
      </c>
      <c r="F174" s="17" t="inlineStr">
        <is>
          <t>Lifecycle</t>
        </is>
      </c>
      <c r="G174" s="21" t="inlineStr">
        <is>
          <t>Mrityu ki Rasm (¶1)</t>
        </is>
      </c>
      <c r="H174" s="22" t="inlineStr"/>
      <c r="I174" s="22" t="inlineStr"/>
      <c r="J174" s="22" t="inlineStr"/>
      <c r="K174" s="22" t="inlineStr"/>
      <c r="L174" s="22" t="inlineStr"/>
      <c r="M174" s="22" t="inlineStr"/>
      <c r="N174" s="22" t="inlineStr"/>
      <c r="O174" s="23">
        <f>COUNTIF(H174:N174,"&gt;=3")</f>
        <v/>
      </c>
      <c r="P174" s="24">
        <f>IF(COUNT(H174:N174)=0,"",COUNTIF(H174:N174,"&gt;=3")/COUNT(H174:N174))</f>
        <v/>
      </c>
      <c r="Q174" s="25">
        <f>IF(COUNT(H174:N174)=0,"",AVERAGE(H174:N174))</f>
        <v/>
      </c>
      <c r="R174" s="25">
        <f>IF(COUNT(H174:N174)&lt;2,"",STDEV(H174:N174))</f>
        <v/>
      </c>
      <c r="S174" s="26">
        <f>IF(COUNT(H174:N174)=0,"",COMBIN(COUNT(H174:N174),COUNTIF(H174:N174,"&gt;=3"))*0.5^COUNT(H174:N174))</f>
        <v/>
      </c>
      <c r="T174" s="25">
        <f>IFERROR(IF(P174="","",(P174-S174)/(1-S174)),"")</f>
        <v/>
      </c>
      <c r="U174" s="27">
        <f>IF(P174="","Awaiting",IF(P174&gt;=CVI_PASS,"PASS",IF(P174&gt;=CVI_BORDER,"BORDERLINE","FAIL")))</f>
        <v/>
      </c>
    </row>
    <row r="175">
      <c r="A175" s="9" t="inlineStr">
        <is>
          <t>S026</t>
        </is>
      </c>
      <c r="B175" s="17" t="inlineStr">
        <is>
          <t>Story Paragraph</t>
        </is>
      </c>
      <c r="C175" s="18" t="inlineStr">
        <is>
          <t>समान्यत: म्रित्यु कय रसम म्रित्यु वाले आदमी के घरे पय हुआ थै।</t>
        </is>
      </c>
      <c r="D175" s="19" t="inlineStr"/>
      <c r="E175" s="20" t="inlineStr">
        <is>
          <t>Generally, the death rituals take place at the home of the deceased person.</t>
        </is>
      </c>
      <c r="F175" s="17" t="inlineStr">
        <is>
          <t>Lifecycle</t>
        </is>
      </c>
      <c r="G175" s="21" t="inlineStr">
        <is>
          <t>Mrityu ki Rasm (¶2)</t>
        </is>
      </c>
      <c r="H175" s="22" t="inlineStr"/>
      <c r="I175" s="22" t="inlineStr"/>
      <c r="J175" s="22" t="inlineStr"/>
      <c r="K175" s="22" t="inlineStr"/>
      <c r="L175" s="22" t="inlineStr"/>
      <c r="M175" s="22" t="inlineStr"/>
      <c r="N175" s="22" t="inlineStr"/>
      <c r="O175" s="23">
        <f>COUNTIF(H175:N175,"&gt;=3")</f>
        <v/>
      </c>
      <c r="P175" s="24">
        <f>IF(COUNT(H175:N175)=0,"",COUNTIF(H175:N175,"&gt;=3")/COUNT(H175:N175))</f>
        <v/>
      </c>
      <c r="Q175" s="25">
        <f>IF(COUNT(H175:N175)=0,"",AVERAGE(H175:N175))</f>
        <v/>
      </c>
      <c r="R175" s="25">
        <f>IF(COUNT(H175:N175)&lt;2,"",STDEV(H175:N175))</f>
        <v/>
      </c>
      <c r="S175" s="26">
        <f>IF(COUNT(H175:N175)=0,"",COMBIN(COUNT(H175:N175),COUNTIF(H175:N175,"&gt;=3"))*0.5^COUNT(H175:N175))</f>
        <v/>
      </c>
      <c r="T175" s="25">
        <f>IFERROR(IF(P175="","",(P175-S175)/(1-S175)),"")</f>
        <v/>
      </c>
      <c r="U175" s="27">
        <f>IF(P175="","Awaiting",IF(P175&gt;=CVI_PASS,"PASS",IF(P175&gt;=CVI_BORDER,"BORDERLINE","FAIL")))</f>
        <v/>
      </c>
    </row>
    <row r="176">
      <c r="A176" s="9" t="inlineStr">
        <is>
          <t>S027</t>
        </is>
      </c>
      <c r="B176" s="17" t="inlineStr">
        <is>
          <t>Story Paragraph</t>
        </is>
      </c>
      <c r="C176" s="18" t="inlineStr">
        <is>
          <t>ऊ मर गवा।</t>
        </is>
      </c>
      <c r="D176" s="19" t="inlineStr"/>
      <c r="E176" s="20" t="inlineStr">
        <is>
          <t>He passed away.</t>
        </is>
      </c>
      <c r="F176" s="17" t="inlineStr">
        <is>
          <t>Lifecycle</t>
        </is>
      </c>
      <c r="G176" s="21" t="inlineStr">
        <is>
          <t>Mrityu ki Rasm (¶3)</t>
        </is>
      </c>
      <c r="H176" s="22" t="inlineStr"/>
      <c r="I176" s="22" t="inlineStr"/>
      <c r="J176" s="22" t="inlineStr"/>
      <c r="K176" s="22" t="inlineStr"/>
      <c r="L176" s="22" t="inlineStr"/>
      <c r="M176" s="22" t="inlineStr"/>
      <c r="N176" s="22" t="inlineStr"/>
      <c r="O176" s="23">
        <f>COUNTIF(H176:N176,"&gt;=3")</f>
        <v/>
      </c>
      <c r="P176" s="24">
        <f>IF(COUNT(H176:N176)=0,"",COUNTIF(H176:N176,"&gt;=3")/COUNT(H176:N176))</f>
        <v/>
      </c>
      <c r="Q176" s="25">
        <f>IF(COUNT(H176:N176)=0,"",AVERAGE(H176:N176))</f>
        <v/>
      </c>
      <c r="R176" s="25">
        <f>IF(COUNT(H176:N176)&lt;2,"",STDEV(H176:N176))</f>
        <v/>
      </c>
      <c r="S176" s="26">
        <f>IF(COUNT(H176:N176)=0,"",COMBIN(COUNT(H176:N176),COUNTIF(H176:N176,"&gt;=3"))*0.5^COUNT(H176:N176))</f>
        <v/>
      </c>
      <c r="T176" s="25">
        <f>IFERROR(IF(P176="","",(P176-S176)/(1-S176)),"")</f>
        <v/>
      </c>
      <c r="U176" s="27">
        <f>IF(P176="","Awaiting",IF(P176&gt;=CVI_PASS,"PASS",IF(P176&gt;=CVI_BORDER,"BORDERLINE","FAIL")))</f>
        <v/>
      </c>
    </row>
    <row r="177">
      <c r="A177" s="9" t="inlineStr">
        <is>
          <t>S028</t>
        </is>
      </c>
      <c r="B177" s="17" t="inlineStr">
        <is>
          <t>Story Paragraph</t>
        </is>
      </c>
      <c r="C177" s="18" t="inlineStr">
        <is>
          <t>म्रित्यु के रसम मा रिश्तेदार -नातेदार अउर गाँव घर न्योता जा थै ।</t>
        </is>
      </c>
      <c r="D177" s="19" t="inlineStr"/>
      <c r="E177" s="20" t="inlineStr">
        <is>
          <t>In the death rituals, relatives and villagers are all invited.</t>
        </is>
      </c>
      <c r="F177" s="17" t="inlineStr">
        <is>
          <t>Lifecycle</t>
        </is>
      </c>
      <c r="G177" s="21" t="inlineStr">
        <is>
          <t>Mrityu ki Rasm (¶4)</t>
        </is>
      </c>
      <c r="H177" s="22" t="inlineStr"/>
      <c r="I177" s="22" t="inlineStr"/>
      <c r="J177" s="22" t="inlineStr"/>
      <c r="K177" s="22" t="inlineStr"/>
      <c r="L177" s="22" t="inlineStr"/>
      <c r="M177" s="22" t="inlineStr"/>
      <c r="N177" s="22" t="inlineStr"/>
      <c r="O177" s="23">
        <f>COUNTIF(H177:N177,"&gt;=3")</f>
        <v/>
      </c>
      <c r="P177" s="24">
        <f>IF(COUNT(H177:N177)=0,"",COUNTIF(H177:N177,"&gt;=3")/COUNT(H177:N177))</f>
        <v/>
      </c>
      <c r="Q177" s="25">
        <f>IF(COUNT(H177:N177)=0,"",AVERAGE(H177:N177))</f>
        <v/>
      </c>
      <c r="R177" s="25">
        <f>IF(COUNT(H177:N177)&lt;2,"",STDEV(H177:N177))</f>
        <v/>
      </c>
      <c r="S177" s="26">
        <f>IF(COUNT(H177:N177)=0,"",COMBIN(COUNT(H177:N177),COUNTIF(H177:N177,"&gt;=3"))*0.5^COUNT(H177:N177))</f>
        <v/>
      </c>
      <c r="T177" s="25">
        <f>IFERROR(IF(P177="","",(P177-S177)/(1-S177)),"")</f>
        <v/>
      </c>
      <c r="U177" s="27">
        <f>IF(P177="","Awaiting",IF(P177&gt;=CVI_PASS,"PASS",IF(P177&gt;=CVI_BORDER,"BORDERLINE","FAIL")))</f>
        <v/>
      </c>
    </row>
    <row r="178">
      <c r="A178" s="9" t="inlineStr">
        <is>
          <t>S029</t>
        </is>
      </c>
      <c r="B178" s="17" t="inlineStr">
        <is>
          <t>Story Paragraph</t>
        </is>
      </c>
      <c r="C178" s="18" t="inlineStr">
        <is>
          <t>मिर्त्यु कय रसम कय बिधि गउदान,तेरहवीं अउर वरषी अहय ।</t>
        </is>
      </c>
      <c r="D178" s="19" t="inlineStr"/>
      <c r="E178" s="20" t="inlineStr">
        <is>
          <t>The ritual procedures for death include Gaudan, the 13th-day ceremony, and the annual memorial.</t>
        </is>
      </c>
      <c r="F178" s="17" t="inlineStr">
        <is>
          <t>Lifecycle</t>
        </is>
      </c>
      <c r="G178" s="21" t="inlineStr">
        <is>
          <t>Mrityu ki Rasm (¶5)</t>
        </is>
      </c>
      <c r="H178" s="22" t="inlineStr"/>
      <c r="I178" s="22" t="inlineStr"/>
      <c r="J178" s="22" t="inlineStr"/>
      <c r="K178" s="22" t="inlineStr"/>
      <c r="L178" s="22" t="inlineStr"/>
      <c r="M178" s="22" t="inlineStr"/>
      <c r="N178" s="22" t="inlineStr"/>
      <c r="O178" s="23">
        <f>COUNTIF(H178:N178,"&gt;=3")</f>
        <v/>
      </c>
      <c r="P178" s="24">
        <f>IF(COUNT(H178:N178)=0,"",COUNTIF(H178:N178,"&gt;=3")/COUNT(H178:N178))</f>
        <v/>
      </c>
      <c r="Q178" s="25">
        <f>IF(COUNT(H178:N178)=0,"",AVERAGE(H178:N178))</f>
        <v/>
      </c>
      <c r="R178" s="25">
        <f>IF(COUNT(H178:N178)&lt;2,"",STDEV(H178:N178))</f>
        <v/>
      </c>
      <c r="S178" s="26">
        <f>IF(COUNT(H178:N178)=0,"",COMBIN(COUNT(H178:N178),COUNTIF(H178:N178,"&gt;=3"))*0.5^COUNT(H178:N178))</f>
        <v/>
      </c>
      <c r="T178" s="25">
        <f>IFERROR(IF(P178="","",(P178-S178)/(1-S178)),"")</f>
        <v/>
      </c>
      <c r="U178" s="27">
        <f>IF(P178="","Awaiting",IF(P178&gt;=CVI_PASS,"PASS",IF(P178&gt;=CVI_BORDER,"BORDERLINE","FAIL")))</f>
        <v/>
      </c>
    </row>
    <row r="179">
      <c r="A179" s="9" t="inlineStr">
        <is>
          <t>S030</t>
        </is>
      </c>
      <c r="B179" s="17" t="inlineStr">
        <is>
          <t>Story Vocab</t>
        </is>
      </c>
      <c r="C179" s="18" t="inlineStr">
        <is>
          <t>म्रित्यु</t>
        </is>
      </c>
      <c r="D179" s="19" t="inlineStr">
        <is>
          <t>Mrityu</t>
        </is>
      </c>
      <c r="E179" s="20" t="inlineStr">
        <is>
          <t>Death</t>
        </is>
      </c>
      <c r="F179" s="17" t="inlineStr">
        <is>
          <t>Lifecycle</t>
        </is>
      </c>
      <c r="G179" s="21" t="inlineStr">
        <is>
          <t>Vocab from "Mrityu ki Rasm"</t>
        </is>
      </c>
      <c r="H179" s="22" t="inlineStr"/>
      <c r="I179" s="22" t="inlineStr"/>
      <c r="J179" s="22" t="inlineStr"/>
      <c r="K179" s="22" t="inlineStr"/>
      <c r="L179" s="22" t="inlineStr"/>
      <c r="M179" s="22" t="inlineStr"/>
      <c r="N179" s="22" t="inlineStr"/>
      <c r="O179" s="23">
        <f>COUNTIF(H179:N179,"&gt;=3")</f>
        <v/>
      </c>
      <c r="P179" s="24">
        <f>IF(COUNT(H179:N179)=0,"",COUNTIF(H179:N179,"&gt;=3")/COUNT(H179:N179))</f>
        <v/>
      </c>
      <c r="Q179" s="25">
        <f>IF(COUNT(H179:N179)=0,"",AVERAGE(H179:N179))</f>
        <v/>
      </c>
      <c r="R179" s="25">
        <f>IF(COUNT(H179:N179)&lt;2,"",STDEV(H179:N179))</f>
        <v/>
      </c>
      <c r="S179" s="26">
        <f>IF(COUNT(H179:N179)=0,"",COMBIN(COUNT(H179:N179),COUNTIF(H179:N179,"&gt;=3"))*0.5^COUNT(H179:N179))</f>
        <v/>
      </c>
      <c r="T179" s="25">
        <f>IFERROR(IF(P179="","",(P179-S179)/(1-S179)),"")</f>
        <v/>
      </c>
      <c r="U179" s="27">
        <f>IF(P179="","Awaiting",IF(P179&gt;=CVI_PASS,"PASS",IF(P179&gt;=CVI_BORDER,"BORDERLINE","FAIL")))</f>
        <v/>
      </c>
    </row>
    <row r="180">
      <c r="A180" s="9" t="inlineStr">
        <is>
          <t>S031</t>
        </is>
      </c>
      <c r="B180" s="17" t="inlineStr">
        <is>
          <t>Story Vocab</t>
        </is>
      </c>
      <c r="C180" s="18" t="inlineStr">
        <is>
          <t>तेरहवीं</t>
        </is>
      </c>
      <c r="D180" s="19" t="inlineStr">
        <is>
          <t>Terhaveen</t>
        </is>
      </c>
      <c r="E180" s="20" t="inlineStr">
        <is>
          <t>13th Day Ritual</t>
        </is>
      </c>
      <c r="F180" s="17" t="inlineStr">
        <is>
          <t>Lifecycle</t>
        </is>
      </c>
      <c r="G180" s="21" t="inlineStr">
        <is>
          <t>Vocab from "Mrityu ki Rasm"</t>
        </is>
      </c>
      <c r="H180" s="22" t="inlineStr"/>
      <c r="I180" s="22" t="inlineStr"/>
      <c r="J180" s="22" t="inlineStr"/>
      <c r="K180" s="22" t="inlineStr"/>
      <c r="L180" s="22" t="inlineStr"/>
      <c r="M180" s="22" t="inlineStr"/>
      <c r="N180" s="22" t="inlineStr"/>
      <c r="O180" s="23">
        <f>COUNTIF(H180:N180,"&gt;=3")</f>
        <v/>
      </c>
      <c r="P180" s="24">
        <f>IF(COUNT(H180:N180)=0,"",COUNTIF(H180:N180,"&gt;=3")/COUNT(H180:N180))</f>
        <v/>
      </c>
      <c r="Q180" s="25">
        <f>IF(COUNT(H180:N180)=0,"",AVERAGE(H180:N180))</f>
        <v/>
      </c>
      <c r="R180" s="25">
        <f>IF(COUNT(H180:N180)&lt;2,"",STDEV(H180:N180))</f>
        <v/>
      </c>
      <c r="S180" s="26">
        <f>IF(COUNT(H180:N180)=0,"",COMBIN(COUNT(H180:N180),COUNTIF(H180:N180,"&gt;=3"))*0.5^COUNT(H180:N180))</f>
        <v/>
      </c>
      <c r="T180" s="25">
        <f>IFERROR(IF(P180="","",(P180-S180)/(1-S180)),"")</f>
        <v/>
      </c>
      <c r="U180" s="27">
        <f>IF(P180="","Awaiting",IF(P180&gt;=CVI_PASS,"PASS",IF(P180&gt;=CVI_BORDER,"BORDERLINE","FAIL")))</f>
        <v/>
      </c>
    </row>
    <row r="181">
      <c r="A181" s="9" t="inlineStr">
        <is>
          <t>S032</t>
        </is>
      </c>
      <c r="B181" s="17" t="inlineStr">
        <is>
          <t>Story Vocab</t>
        </is>
      </c>
      <c r="C181" s="18" t="inlineStr">
        <is>
          <t>वरषी</t>
        </is>
      </c>
      <c r="D181" s="19" t="inlineStr">
        <is>
          <t>Varshi</t>
        </is>
      </c>
      <c r="E181" s="20" t="inlineStr">
        <is>
          <t>Annual Memorial</t>
        </is>
      </c>
      <c r="F181" s="17" t="inlineStr">
        <is>
          <t>Lifecycle</t>
        </is>
      </c>
      <c r="G181" s="21" t="inlineStr">
        <is>
          <t>Vocab from "Mrityu ki Rasm"</t>
        </is>
      </c>
      <c r="H181" s="22" t="inlineStr"/>
      <c r="I181" s="22" t="inlineStr"/>
      <c r="J181" s="22" t="inlineStr"/>
      <c r="K181" s="22" t="inlineStr"/>
      <c r="L181" s="22" t="inlineStr"/>
      <c r="M181" s="22" t="inlineStr"/>
      <c r="N181" s="22" t="inlineStr"/>
      <c r="O181" s="23">
        <f>COUNTIF(H181:N181,"&gt;=3")</f>
        <v/>
      </c>
      <c r="P181" s="24">
        <f>IF(COUNT(H181:N181)=0,"",COUNTIF(H181:N181,"&gt;=3")/COUNT(H181:N181))</f>
        <v/>
      </c>
      <c r="Q181" s="25">
        <f>IF(COUNT(H181:N181)=0,"",AVERAGE(H181:N181))</f>
        <v/>
      </c>
      <c r="R181" s="25">
        <f>IF(COUNT(H181:N181)&lt;2,"",STDEV(H181:N181))</f>
        <v/>
      </c>
      <c r="S181" s="26">
        <f>IF(COUNT(H181:N181)=0,"",COMBIN(COUNT(H181:N181),COUNTIF(H181:N181,"&gt;=3"))*0.5^COUNT(H181:N181))</f>
        <v/>
      </c>
      <c r="T181" s="25">
        <f>IFERROR(IF(P181="","",(P181-S181)/(1-S181)),"")</f>
        <v/>
      </c>
      <c r="U181" s="27">
        <f>IF(P181="","Awaiting",IF(P181&gt;=CVI_PASS,"PASS",IF(P181&gt;=CVI_BORDER,"BORDERLINE","FAIL")))</f>
        <v/>
      </c>
    </row>
    <row r="182">
      <c r="A182" s="9" t="inlineStr">
        <is>
          <t>S033</t>
        </is>
      </c>
      <c r="B182" s="17" t="inlineStr">
        <is>
          <t>Story Vocab</t>
        </is>
      </c>
      <c r="C182" s="18" t="inlineStr">
        <is>
          <t>परिवार</t>
        </is>
      </c>
      <c r="D182" s="19" t="inlineStr">
        <is>
          <t>Parivaar</t>
        </is>
      </c>
      <c r="E182" s="20" t="inlineStr">
        <is>
          <t>Family</t>
        </is>
      </c>
      <c r="F182" s="17" t="inlineStr">
        <is>
          <t>Lifecycle</t>
        </is>
      </c>
      <c r="G182" s="21" t="inlineStr">
        <is>
          <t>Vocab from "Mrityu ki Rasm"</t>
        </is>
      </c>
      <c r="H182" s="22" t="inlineStr"/>
      <c r="I182" s="22" t="inlineStr"/>
      <c r="J182" s="22" t="inlineStr"/>
      <c r="K182" s="22" t="inlineStr"/>
      <c r="L182" s="22" t="inlineStr"/>
      <c r="M182" s="22" t="inlineStr"/>
      <c r="N182" s="22" t="inlineStr"/>
      <c r="O182" s="23">
        <f>COUNTIF(H182:N182,"&gt;=3")</f>
        <v/>
      </c>
      <c r="P182" s="24">
        <f>IF(COUNT(H182:N182)=0,"",COUNTIF(H182:N182,"&gt;=3")/COUNT(H182:N182))</f>
        <v/>
      </c>
      <c r="Q182" s="25">
        <f>IF(COUNT(H182:N182)=0,"",AVERAGE(H182:N182))</f>
        <v/>
      </c>
      <c r="R182" s="25">
        <f>IF(COUNT(H182:N182)&lt;2,"",STDEV(H182:N182))</f>
        <v/>
      </c>
      <c r="S182" s="26">
        <f>IF(COUNT(H182:N182)=0,"",COMBIN(COUNT(H182:N182),COUNTIF(H182:N182,"&gt;=3"))*0.5^COUNT(H182:N182))</f>
        <v/>
      </c>
      <c r="T182" s="25">
        <f>IFERROR(IF(P182="","",(P182-S182)/(1-S182)),"")</f>
        <v/>
      </c>
      <c r="U182" s="27">
        <f>IF(P182="","Awaiting",IF(P182&gt;=CVI_PASS,"PASS",IF(P182&gt;=CVI_BORDER,"BORDERLINE","FAIL")))</f>
        <v/>
      </c>
    </row>
    <row r="183">
      <c r="A183" s="9" t="inlineStr">
        <is>
          <t>S034</t>
        </is>
      </c>
      <c r="B183" s="17" t="inlineStr">
        <is>
          <t>Story Vocab</t>
        </is>
      </c>
      <c r="C183" s="18" t="inlineStr">
        <is>
          <t>पडोस</t>
        </is>
      </c>
      <c r="D183" s="19" t="inlineStr">
        <is>
          <t>Padosi</t>
        </is>
      </c>
      <c r="E183" s="20" t="inlineStr">
        <is>
          <t>Neighbourhood</t>
        </is>
      </c>
      <c r="F183" s="17" t="inlineStr">
        <is>
          <t>Lifecycle</t>
        </is>
      </c>
      <c r="G183" s="21" t="inlineStr">
        <is>
          <t>Vocab from "Mrityu ki Rasm"</t>
        </is>
      </c>
      <c r="H183" s="22" t="inlineStr"/>
      <c r="I183" s="22" t="inlineStr"/>
      <c r="J183" s="22" t="inlineStr"/>
      <c r="K183" s="22" t="inlineStr"/>
      <c r="L183" s="22" t="inlineStr"/>
      <c r="M183" s="22" t="inlineStr"/>
      <c r="N183" s="22" t="inlineStr"/>
      <c r="O183" s="23">
        <f>COUNTIF(H183:N183,"&gt;=3")</f>
        <v/>
      </c>
      <c r="P183" s="24">
        <f>IF(COUNT(H183:N183)=0,"",COUNTIF(H183:N183,"&gt;=3")/COUNT(H183:N183))</f>
        <v/>
      </c>
      <c r="Q183" s="25">
        <f>IF(COUNT(H183:N183)=0,"",AVERAGE(H183:N183))</f>
        <v/>
      </c>
      <c r="R183" s="25">
        <f>IF(COUNT(H183:N183)&lt;2,"",STDEV(H183:N183))</f>
        <v/>
      </c>
      <c r="S183" s="26">
        <f>IF(COUNT(H183:N183)=0,"",COMBIN(COUNT(H183:N183),COUNTIF(H183:N183,"&gt;=3"))*0.5^COUNT(H183:N183))</f>
        <v/>
      </c>
      <c r="T183" s="25">
        <f>IFERROR(IF(P183="","",(P183-S183)/(1-S183)),"")</f>
        <v/>
      </c>
      <c r="U183" s="27">
        <f>IF(P183="","Awaiting",IF(P183&gt;=CVI_PASS,"PASS",IF(P183&gt;=CVI_BORDER,"BORDERLINE","FAIL")))</f>
        <v/>
      </c>
    </row>
    <row r="184">
      <c r="A184" s="9" t="inlineStr">
        <is>
          <t>S035</t>
        </is>
      </c>
      <c r="B184" s="17" t="inlineStr">
        <is>
          <t>Story Paragraph</t>
        </is>
      </c>
      <c r="C184" s="18" t="inlineStr">
        <is>
          <t>वे रोज स्कूल जा थें।</t>
        </is>
      </c>
      <c r="D184" s="19" t="inlineStr"/>
      <c r="E184" s="20" t="inlineStr">
        <is>
          <t>They used to go to school every day.</t>
        </is>
      </c>
      <c r="F184" s="17" t="inlineStr">
        <is>
          <t>Daily Life</t>
        </is>
      </c>
      <c r="G184" s="21" t="inlineStr">
        <is>
          <t>Gaav ki Zindagi (¶1)</t>
        </is>
      </c>
      <c r="H184" s="22" t="inlineStr"/>
      <c r="I184" s="22" t="inlineStr"/>
      <c r="J184" s="22" t="inlineStr"/>
      <c r="K184" s="22" t="inlineStr"/>
      <c r="L184" s="22" t="inlineStr"/>
      <c r="M184" s="22" t="inlineStr"/>
      <c r="N184" s="22" t="inlineStr"/>
      <c r="O184" s="23">
        <f>COUNTIF(H184:N184,"&gt;=3")</f>
        <v/>
      </c>
      <c r="P184" s="24">
        <f>IF(COUNT(H184:N184)=0,"",COUNTIF(H184:N184,"&gt;=3")/COUNT(H184:N184))</f>
        <v/>
      </c>
      <c r="Q184" s="25">
        <f>IF(COUNT(H184:N184)=0,"",AVERAGE(H184:N184))</f>
        <v/>
      </c>
      <c r="R184" s="25">
        <f>IF(COUNT(H184:N184)&lt;2,"",STDEV(H184:N184))</f>
        <v/>
      </c>
      <c r="S184" s="26">
        <f>IF(COUNT(H184:N184)=0,"",COMBIN(COUNT(H184:N184),COUNTIF(H184:N184,"&gt;=3"))*0.5^COUNT(H184:N184))</f>
        <v/>
      </c>
      <c r="T184" s="25">
        <f>IFERROR(IF(P184="","",(P184-S184)/(1-S184)),"")</f>
        <v/>
      </c>
      <c r="U184" s="27">
        <f>IF(P184="","Awaiting",IF(P184&gt;=CVI_PASS,"PASS",IF(P184&gt;=CVI_BORDER,"BORDERLINE","FAIL")))</f>
        <v/>
      </c>
    </row>
    <row r="185">
      <c r="A185" s="9" t="inlineStr">
        <is>
          <t>S036</t>
        </is>
      </c>
      <c r="B185" s="17" t="inlineStr">
        <is>
          <t>Story Paragraph</t>
        </is>
      </c>
      <c r="C185" s="18" t="inlineStr">
        <is>
          <t>हमरे घरे मा ढेर पेड अहय।</t>
        </is>
      </c>
      <c r="D185" s="19" t="inlineStr"/>
      <c r="E185" s="20" t="inlineStr">
        <is>
          <t>There are many trees at our home.</t>
        </is>
      </c>
      <c r="F185" s="17" t="inlineStr">
        <is>
          <t>Daily Life</t>
        </is>
      </c>
      <c r="G185" s="21" t="inlineStr">
        <is>
          <t>Gaav ki Zindagi (¶2)</t>
        </is>
      </c>
      <c r="H185" s="22" t="inlineStr"/>
      <c r="I185" s="22" t="inlineStr"/>
      <c r="J185" s="22" t="inlineStr"/>
      <c r="K185" s="22" t="inlineStr"/>
      <c r="L185" s="22" t="inlineStr"/>
      <c r="M185" s="22" t="inlineStr"/>
      <c r="N185" s="22" t="inlineStr"/>
      <c r="O185" s="23">
        <f>COUNTIF(H185:N185,"&gt;=3")</f>
        <v/>
      </c>
      <c r="P185" s="24">
        <f>IF(COUNT(H185:N185)=0,"",COUNTIF(H185:N185,"&gt;=3")/COUNT(H185:N185))</f>
        <v/>
      </c>
      <c r="Q185" s="25">
        <f>IF(COUNT(H185:N185)=0,"",AVERAGE(H185:N185))</f>
        <v/>
      </c>
      <c r="R185" s="25">
        <f>IF(COUNT(H185:N185)&lt;2,"",STDEV(H185:N185))</f>
        <v/>
      </c>
      <c r="S185" s="26">
        <f>IF(COUNT(H185:N185)=0,"",COMBIN(COUNT(H185:N185),COUNTIF(H185:N185,"&gt;=3"))*0.5^COUNT(H185:N185))</f>
        <v/>
      </c>
      <c r="T185" s="25">
        <f>IFERROR(IF(P185="","",(P185-S185)/(1-S185)),"")</f>
        <v/>
      </c>
      <c r="U185" s="27">
        <f>IF(P185="","Awaiting",IF(P185&gt;=CVI_PASS,"PASS",IF(P185&gt;=CVI_BORDER,"BORDERLINE","FAIL")))</f>
        <v/>
      </c>
    </row>
    <row r="186">
      <c r="A186" s="9" t="inlineStr">
        <is>
          <t>S037</t>
        </is>
      </c>
      <c r="B186" s="17" t="inlineStr">
        <is>
          <t>Story Paragraph</t>
        </is>
      </c>
      <c r="C186" s="18" t="inlineStr">
        <is>
          <t>गाँव कय ई सबसे पुरान पेड आय।</t>
        </is>
      </c>
      <c r="D186" s="19" t="inlineStr"/>
      <c r="E186" s="20" t="inlineStr">
        <is>
          <t>This is the oldest tree in the village.</t>
        </is>
      </c>
      <c r="F186" s="17" t="inlineStr">
        <is>
          <t>Daily Life</t>
        </is>
      </c>
      <c r="G186" s="21" t="inlineStr">
        <is>
          <t>Gaav ki Zindagi (¶3)</t>
        </is>
      </c>
      <c r="H186" s="22" t="inlineStr"/>
      <c r="I186" s="22" t="inlineStr"/>
      <c r="J186" s="22" t="inlineStr"/>
      <c r="K186" s="22" t="inlineStr"/>
      <c r="L186" s="22" t="inlineStr"/>
      <c r="M186" s="22" t="inlineStr"/>
      <c r="N186" s="22" t="inlineStr"/>
      <c r="O186" s="23">
        <f>COUNTIF(H186:N186,"&gt;=3")</f>
        <v/>
      </c>
      <c r="P186" s="24">
        <f>IF(COUNT(H186:N186)=0,"",COUNTIF(H186:N186,"&gt;=3")/COUNT(H186:N186))</f>
        <v/>
      </c>
      <c r="Q186" s="25">
        <f>IF(COUNT(H186:N186)=0,"",AVERAGE(H186:N186))</f>
        <v/>
      </c>
      <c r="R186" s="25">
        <f>IF(COUNT(H186:N186)&lt;2,"",STDEV(H186:N186))</f>
        <v/>
      </c>
      <c r="S186" s="26">
        <f>IF(COUNT(H186:N186)=0,"",COMBIN(COUNT(H186:N186),COUNTIF(H186:N186,"&gt;=3"))*0.5^COUNT(H186:N186))</f>
        <v/>
      </c>
      <c r="T186" s="25">
        <f>IFERROR(IF(P186="","",(P186-S186)/(1-S186)),"")</f>
        <v/>
      </c>
      <c r="U186" s="27">
        <f>IF(P186="","Awaiting",IF(P186&gt;=CVI_PASS,"PASS",IF(P186&gt;=CVI_BORDER,"BORDERLINE","FAIL")))</f>
        <v/>
      </c>
    </row>
    <row r="187">
      <c r="A187" s="9" t="inlineStr">
        <is>
          <t>S038</t>
        </is>
      </c>
      <c r="B187" s="17" t="inlineStr">
        <is>
          <t>Story Paragraph</t>
        </is>
      </c>
      <c r="C187" s="18" t="inlineStr">
        <is>
          <t>टैंक मा पानी नाही बाटय।</t>
        </is>
      </c>
      <c r="D187" s="19" t="inlineStr"/>
      <c r="E187" s="20" t="inlineStr">
        <is>
          <t>There is no water in the tank.</t>
        </is>
      </c>
      <c r="F187" s="17" t="inlineStr">
        <is>
          <t>Daily Life</t>
        </is>
      </c>
      <c r="G187" s="21" t="inlineStr">
        <is>
          <t>Gaav ki Zindagi (¶4)</t>
        </is>
      </c>
      <c r="H187" s="22" t="inlineStr"/>
      <c r="I187" s="22" t="inlineStr"/>
      <c r="J187" s="22" t="inlineStr"/>
      <c r="K187" s="22" t="inlineStr"/>
      <c r="L187" s="22" t="inlineStr"/>
      <c r="M187" s="22" t="inlineStr"/>
      <c r="N187" s="22" t="inlineStr"/>
      <c r="O187" s="23">
        <f>COUNTIF(H187:N187,"&gt;=3")</f>
        <v/>
      </c>
      <c r="P187" s="24">
        <f>IF(COUNT(H187:N187)=0,"",COUNTIF(H187:N187,"&gt;=3")/COUNT(H187:N187))</f>
        <v/>
      </c>
      <c r="Q187" s="25">
        <f>IF(COUNT(H187:N187)=0,"",AVERAGE(H187:N187))</f>
        <v/>
      </c>
      <c r="R187" s="25">
        <f>IF(COUNT(H187:N187)&lt;2,"",STDEV(H187:N187))</f>
        <v/>
      </c>
      <c r="S187" s="26">
        <f>IF(COUNT(H187:N187)=0,"",COMBIN(COUNT(H187:N187),COUNTIF(H187:N187,"&gt;=3"))*0.5^COUNT(H187:N187))</f>
        <v/>
      </c>
      <c r="T187" s="25">
        <f>IFERROR(IF(P187="","",(P187-S187)/(1-S187)),"")</f>
        <v/>
      </c>
      <c r="U187" s="27">
        <f>IF(P187="","Awaiting",IF(P187&gt;=CVI_PASS,"PASS",IF(P187&gt;=CVI_BORDER,"BORDERLINE","FAIL")))</f>
        <v/>
      </c>
    </row>
    <row r="188">
      <c r="A188" s="9" t="inlineStr">
        <is>
          <t>S039</t>
        </is>
      </c>
      <c r="B188" s="17" t="inlineStr">
        <is>
          <t>Story Paragraph</t>
        </is>
      </c>
      <c r="C188" s="18" t="inlineStr">
        <is>
          <t>खराब मौसम की वजह से हम सब गाँव नही जाय पाइन।</t>
        </is>
      </c>
      <c r="D188" s="19" t="inlineStr"/>
      <c r="E188" s="20" t="inlineStr">
        <is>
          <t>Due to bad weather, we all could not go to the village.</t>
        </is>
      </c>
      <c r="F188" s="17" t="inlineStr">
        <is>
          <t>Daily Life</t>
        </is>
      </c>
      <c r="G188" s="21" t="inlineStr">
        <is>
          <t>Gaav ki Zindagi (¶5)</t>
        </is>
      </c>
      <c r="H188" s="22" t="inlineStr"/>
      <c r="I188" s="22" t="inlineStr"/>
      <c r="J188" s="22" t="inlineStr"/>
      <c r="K188" s="22" t="inlineStr"/>
      <c r="L188" s="22" t="inlineStr"/>
      <c r="M188" s="22" t="inlineStr"/>
      <c r="N188" s="22" t="inlineStr"/>
      <c r="O188" s="23">
        <f>COUNTIF(H188:N188,"&gt;=3")</f>
        <v/>
      </c>
      <c r="P188" s="24">
        <f>IF(COUNT(H188:N188)=0,"",COUNTIF(H188:N188,"&gt;=3")/COUNT(H188:N188))</f>
        <v/>
      </c>
      <c r="Q188" s="25">
        <f>IF(COUNT(H188:N188)=0,"",AVERAGE(H188:N188))</f>
        <v/>
      </c>
      <c r="R188" s="25">
        <f>IF(COUNT(H188:N188)&lt;2,"",STDEV(H188:N188))</f>
        <v/>
      </c>
      <c r="S188" s="26">
        <f>IF(COUNT(H188:N188)=0,"",COMBIN(COUNT(H188:N188),COUNTIF(H188:N188,"&gt;=3"))*0.5^COUNT(H188:N188))</f>
        <v/>
      </c>
      <c r="T188" s="25">
        <f>IFERROR(IF(P188="","",(P188-S188)/(1-S188)),"")</f>
        <v/>
      </c>
      <c r="U188" s="27">
        <f>IF(P188="","Awaiting",IF(P188&gt;=CVI_PASS,"PASS",IF(P188&gt;=CVI_BORDER,"BORDERLINE","FAIL")))</f>
        <v/>
      </c>
    </row>
    <row r="189">
      <c r="A189" s="9" t="inlineStr">
        <is>
          <t>S040</t>
        </is>
      </c>
      <c r="B189" s="17" t="inlineStr">
        <is>
          <t>Story Paragraph</t>
        </is>
      </c>
      <c r="C189" s="18" t="inlineStr">
        <is>
          <t>वे हर दिन फ़ुटबाल खेला थें।</t>
        </is>
      </c>
      <c r="D189" s="19" t="inlineStr"/>
      <c r="E189" s="20" t="inlineStr">
        <is>
          <t>They used to play football every day.</t>
        </is>
      </c>
      <c r="F189" s="17" t="inlineStr">
        <is>
          <t>Daily Life</t>
        </is>
      </c>
      <c r="G189" s="21" t="inlineStr">
        <is>
          <t>Gaav ki Zindagi (¶6)</t>
        </is>
      </c>
      <c r="H189" s="22" t="inlineStr"/>
      <c r="I189" s="22" t="inlineStr"/>
      <c r="J189" s="22" t="inlineStr"/>
      <c r="K189" s="22" t="inlineStr"/>
      <c r="L189" s="22" t="inlineStr"/>
      <c r="M189" s="22" t="inlineStr"/>
      <c r="N189" s="22" t="inlineStr"/>
      <c r="O189" s="23">
        <f>COUNTIF(H189:N189,"&gt;=3")</f>
        <v/>
      </c>
      <c r="P189" s="24">
        <f>IF(COUNT(H189:N189)=0,"",COUNTIF(H189:N189,"&gt;=3")/COUNT(H189:N189))</f>
        <v/>
      </c>
      <c r="Q189" s="25">
        <f>IF(COUNT(H189:N189)=0,"",AVERAGE(H189:N189))</f>
        <v/>
      </c>
      <c r="R189" s="25">
        <f>IF(COUNT(H189:N189)&lt;2,"",STDEV(H189:N189))</f>
        <v/>
      </c>
      <c r="S189" s="26">
        <f>IF(COUNT(H189:N189)=0,"",COMBIN(COUNT(H189:N189),COUNTIF(H189:N189,"&gt;=3"))*0.5^COUNT(H189:N189))</f>
        <v/>
      </c>
      <c r="T189" s="25">
        <f>IFERROR(IF(P189="","",(P189-S189)/(1-S189)),"")</f>
        <v/>
      </c>
      <c r="U189" s="27">
        <f>IF(P189="","Awaiting",IF(P189&gt;=CVI_PASS,"PASS",IF(P189&gt;=CVI_BORDER,"BORDERLINE","FAIL")))</f>
        <v/>
      </c>
    </row>
    <row r="190">
      <c r="A190" s="9" t="inlineStr">
        <is>
          <t>S041</t>
        </is>
      </c>
      <c r="B190" s="17" t="inlineStr">
        <is>
          <t>Story Paragraph</t>
        </is>
      </c>
      <c r="C190" s="18" t="inlineStr">
        <is>
          <t>वे कपडा धोवत रही।</t>
        </is>
      </c>
      <c r="D190" s="19" t="inlineStr"/>
      <c r="E190" s="20" t="inlineStr">
        <is>
          <t>She was washing clothes.</t>
        </is>
      </c>
      <c r="F190" s="17" t="inlineStr">
        <is>
          <t>Daily Life</t>
        </is>
      </c>
      <c r="G190" s="21" t="inlineStr">
        <is>
          <t>Gaav ki Zindagi (¶7)</t>
        </is>
      </c>
      <c r="H190" s="22" t="inlineStr"/>
      <c r="I190" s="22" t="inlineStr"/>
      <c r="J190" s="22" t="inlineStr"/>
      <c r="K190" s="22" t="inlineStr"/>
      <c r="L190" s="22" t="inlineStr"/>
      <c r="M190" s="22" t="inlineStr"/>
      <c r="N190" s="22" t="inlineStr"/>
      <c r="O190" s="23">
        <f>COUNTIF(H190:N190,"&gt;=3")</f>
        <v/>
      </c>
      <c r="P190" s="24">
        <f>IF(COUNT(H190:N190)=0,"",COUNTIF(H190:N190,"&gt;=3")/COUNT(H190:N190))</f>
        <v/>
      </c>
      <c r="Q190" s="25">
        <f>IF(COUNT(H190:N190)=0,"",AVERAGE(H190:N190))</f>
        <v/>
      </c>
      <c r="R190" s="25">
        <f>IF(COUNT(H190:N190)&lt;2,"",STDEV(H190:N190))</f>
        <v/>
      </c>
      <c r="S190" s="26">
        <f>IF(COUNT(H190:N190)=0,"",COMBIN(COUNT(H190:N190),COUNTIF(H190:N190,"&gt;=3"))*0.5^COUNT(H190:N190))</f>
        <v/>
      </c>
      <c r="T190" s="25">
        <f>IFERROR(IF(P190="","",(P190-S190)/(1-S190)),"")</f>
        <v/>
      </c>
      <c r="U190" s="27">
        <f>IF(P190="","Awaiting",IF(P190&gt;=CVI_PASS,"PASS",IF(P190&gt;=CVI_BORDER,"BORDERLINE","FAIL")))</f>
        <v/>
      </c>
    </row>
    <row r="191">
      <c r="A191" s="9" t="inlineStr">
        <is>
          <t>S042</t>
        </is>
      </c>
      <c r="B191" s="17" t="inlineStr">
        <is>
          <t>Story Paragraph</t>
        </is>
      </c>
      <c r="C191" s="18" t="inlineStr">
        <is>
          <t>खाये के बाद सोया।</t>
        </is>
      </c>
      <c r="D191" s="19" t="inlineStr"/>
      <c r="E191" s="20" t="inlineStr">
        <is>
          <t>He slept after eating.</t>
        </is>
      </c>
      <c r="F191" s="17" t="inlineStr">
        <is>
          <t>Daily Life</t>
        </is>
      </c>
      <c r="G191" s="21" t="inlineStr">
        <is>
          <t>Gaav ki Zindagi (¶8)</t>
        </is>
      </c>
      <c r="H191" s="22" t="inlineStr"/>
      <c r="I191" s="22" t="inlineStr"/>
      <c r="J191" s="22" t="inlineStr"/>
      <c r="K191" s="22" t="inlineStr"/>
      <c r="L191" s="22" t="inlineStr"/>
      <c r="M191" s="22" t="inlineStr"/>
      <c r="N191" s="22" t="inlineStr"/>
      <c r="O191" s="23">
        <f>COUNTIF(H191:N191,"&gt;=3")</f>
        <v/>
      </c>
      <c r="P191" s="24">
        <f>IF(COUNT(H191:N191)=0,"",COUNTIF(H191:N191,"&gt;=3")/COUNT(H191:N191))</f>
        <v/>
      </c>
      <c r="Q191" s="25">
        <f>IF(COUNT(H191:N191)=0,"",AVERAGE(H191:N191))</f>
        <v/>
      </c>
      <c r="R191" s="25">
        <f>IF(COUNT(H191:N191)&lt;2,"",STDEV(H191:N191))</f>
        <v/>
      </c>
      <c r="S191" s="26">
        <f>IF(COUNT(H191:N191)=0,"",COMBIN(COUNT(H191:N191),COUNTIF(H191:N191,"&gt;=3"))*0.5^COUNT(H191:N191))</f>
        <v/>
      </c>
      <c r="T191" s="25">
        <f>IFERROR(IF(P191="","",(P191-S191)/(1-S191)),"")</f>
        <v/>
      </c>
      <c r="U191" s="27">
        <f>IF(P191="","Awaiting",IF(P191&gt;=CVI_PASS,"PASS",IF(P191&gt;=CVI_BORDER,"BORDERLINE","FAIL")))</f>
        <v/>
      </c>
    </row>
    <row r="192">
      <c r="A192" s="9" t="inlineStr">
        <is>
          <t>S043</t>
        </is>
      </c>
      <c r="B192" s="17" t="inlineStr">
        <is>
          <t>Story Vocab</t>
        </is>
      </c>
      <c r="C192" s="18" t="inlineStr">
        <is>
          <t>गाँव</t>
        </is>
      </c>
      <c r="D192" s="19" t="inlineStr">
        <is>
          <t>Gaav</t>
        </is>
      </c>
      <c r="E192" s="20" t="inlineStr">
        <is>
          <t>Village</t>
        </is>
      </c>
      <c r="F192" s="17" t="inlineStr">
        <is>
          <t>Daily Life</t>
        </is>
      </c>
      <c r="G192" s="21" t="inlineStr">
        <is>
          <t>Vocab from "Gaav ki Zindagi"</t>
        </is>
      </c>
      <c r="H192" s="22" t="inlineStr"/>
      <c r="I192" s="22" t="inlineStr"/>
      <c r="J192" s="22" t="inlineStr"/>
      <c r="K192" s="22" t="inlineStr"/>
      <c r="L192" s="22" t="inlineStr"/>
      <c r="M192" s="22" t="inlineStr"/>
      <c r="N192" s="22" t="inlineStr"/>
      <c r="O192" s="23">
        <f>COUNTIF(H192:N192,"&gt;=3")</f>
        <v/>
      </c>
      <c r="P192" s="24">
        <f>IF(COUNT(H192:N192)=0,"",COUNTIF(H192:N192,"&gt;=3")/COUNT(H192:N192))</f>
        <v/>
      </c>
      <c r="Q192" s="25">
        <f>IF(COUNT(H192:N192)=0,"",AVERAGE(H192:N192))</f>
        <v/>
      </c>
      <c r="R192" s="25">
        <f>IF(COUNT(H192:N192)&lt;2,"",STDEV(H192:N192))</f>
        <v/>
      </c>
      <c r="S192" s="26">
        <f>IF(COUNT(H192:N192)=0,"",COMBIN(COUNT(H192:N192),COUNTIF(H192:N192,"&gt;=3"))*0.5^COUNT(H192:N192))</f>
        <v/>
      </c>
      <c r="T192" s="25">
        <f>IFERROR(IF(P192="","",(P192-S192)/(1-S192)),"")</f>
        <v/>
      </c>
      <c r="U192" s="27">
        <f>IF(P192="","Awaiting",IF(P192&gt;=CVI_PASS,"PASS",IF(P192&gt;=CVI_BORDER,"BORDERLINE","FAIL")))</f>
        <v/>
      </c>
    </row>
    <row r="193">
      <c r="A193" s="9" t="inlineStr">
        <is>
          <t>S044</t>
        </is>
      </c>
      <c r="B193" s="17" t="inlineStr">
        <is>
          <t>Story Vocab</t>
        </is>
      </c>
      <c r="C193" s="18" t="inlineStr">
        <is>
          <t>पेड</t>
        </is>
      </c>
      <c r="D193" s="19" t="inlineStr">
        <is>
          <t>Ped</t>
        </is>
      </c>
      <c r="E193" s="20" t="inlineStr">
        <is>
          <t>Tree</t>
        </is>
      </c>
      <c r="F193" s="17" t="inlineStr">
        <is>
          <t>Daily Life</t>
        </is>
      </c>
      <c r="G193" s="21" t="inlineStr">
        <is>
          <t>Vocab from "Gaav ki Zindagi"</t>
        </is>
      </c>
      <c r="H193" s="22" t="inlineStr"/>
      <c r="I193" s="22" t="inlineStr"/>
      <c r="J193" s="22" t="inlineStr"/>
      <c r="K193" s="22" t="inlineStr"/>
      <c r="L193" s="22" t="inlineStr"/>
      <c r="M193" s="22" t="inlineStr"/>
      <c r="N193" s="22" t="inlineStr"/>
      <c r="O193" s="23">
        <f>COUNTIF(H193:N193,"&gt;=3")</f>
        <v/>
      </c>
      <c r="P193" s="24">
        <f>IF(COUNT(H193:N193)=0,"",COUNTIF(H193:N193,"&gt;=3")/COUNT(H193:N193))</f>
        <v/>
      </c>
      <c r="Q193" s="25">
        <f>IF(COUNT(H193:N193)=0,"",AVERAGE(H193:N193))</f>
        <v/>
      </c>
      <c r="R193" s="25">
        <f>IF(COUNT(H193:N193)&lt;2,"",STDEV(H193:N193))</f>
        <v/>
      </c>
      <c r="S193" s="26">
        <f>IF(COUNT(H193:N193)=0,"",COMBIN(COUNT(H193:N193),COUNTIF(H193:N193,"&gt;=3"))*0.5^COUNT(H193:N193))</f>
        <v/>
      </c>
      <c r="T193" s="25">
        <f>IFERROR(IF(P193="","",(P193-S193)/(1-S193)),"")</f>
        <v/>
      </c>
      <c r="U193" s="27">
        <f>IF(P193="","Awaiting",IF(P193&gt;=CVI_PASS,"PASS",IF(P193&gt;=CVI_BORDER,"BORDERLINE","FAIL")))</f>
        <v/>
      </c>
    </row>
    <row r="194">
      <c r="A194" s="9" t="inlineStr">
        <is>
          <t>S045</t>
        </is>
      </c>
      <c r="B194" s="17" t="inlineStr">
        <is>
          <t>Story Vocab</t>
        </is>
      </c>
      <c r="C194" s="18" t="inlineStr">
        <is>
          <t>मौसम</t>
        </is>
      </c>
      <c r="D194" s="19" t="inlineStr">
        <is>
          <t>Mausam</t>
        </is>
      </c>
      <c r="E194" s="20" t="inlineStr">
        <is>
          <t>Weather</t>
        </is>
      </c>
      <c r="F194" s="17" t="inlineStr">
        <is>
          <t>Daily Life</t>
        </is>
      </c>
      <c r="G194" s="21" t="inlineStr">
        <is>
          <t>Vocab from "Gaav ki Zindagi"</t>
        </is>
      </c>
      <c r="H194" s="22" t="inlineStr"/>
      <c r="I194" s="22" t="inlineStr"/>
      <c r="J194" s="22" t="inlineStr"/>
      <c r="K194" s="22" t="inlineStr"/>
      <c r="L194" s="22" t="inlineStr"/>
      <c r="M194" s="22" t="inlineStr"/>
      <c r="N194" s="22" t="inlineStr"/>
      <c r="O194" s="23">
        <f>COUNTIF(H194:N194,"&gt;=3")</f>
        <v/>
      </c>
      <c r="P194" s="24">
        <f>IF(COUNT(H194:N194)=0,"",COUNTIF(H194:N194,"&gt;=3")/COUNT(H194:N194))</f>
        <v/>
      </c>
      <c r="Q194" s="25">
        <f>IF(COUNT(H194:N194)=0,"",AVERAGE(H194:N194))</f>
        <v/>
      </c>
      <c r="R194" s="25">
        <f>IF(COUNT(H194:N194)&lt;2,"",STDEV(H194:N194))</f>
        <v/>
      </c>
      <c r="S194" s="26">
        <f>IF(COUNT(H194:N194)=0,"",COMBIN(COUNT(H194:N194),COUNTIF(H194:N194,"&gt;=3"))*0.5^COUNT(H194:N194))</f>
        <v/>
      </c>
      <c r="T194" s="25">
        <f>IFERROR(IF(P194="","",(P194-S194)/(1-S194)),"")</f>
        <v/>
      </c>
      <c r="U194" s="27">
        <f>IF(P194="","Awaiting",IF(P194&gt;=CVI_PASS,"PASS",IF(P194&gt;=CVI_BORDER,"BORDERLINE","FAIL")))</f>
        <v/>
      </c>
    </row>
    <row r="195">
      <c r="A195" s="9" t="inlineStr">
        <is>
          <t>S046</t>
        </is>
      </c>
      <c r="B195" s="17" t="inlineStr">
        <is>
          <t>Story Vocab</t>
        </is>
      </c>
      <c r="C195" s="18" t="inlineStr">
        <is>
          <t>पानी</t>
        </is>
      </c>
      <c r="D195" s="19" t="inlineStr">
        <is>
          <t>Paani</t>
        </is>
      </c>
      <c r="E195" s="20" t="inlineStr">
        <is>
          <t>Water</t>
        </is>
      </c>
      <c r="F195" s="17" t="inlineStr">
        <is>
          <t>Daily Life</t>
        </is>
      </c>
      <c r="G195" s="21" t="inlineStr">
        <is>
          <t>Vocab from "Gaav ki Zindagi"</t>
        </is>
      </c>
      <c r="H195" s="22" t="inlineStr"/>
      <c r="I195" s="22" t="inlineStr"/>
      <c r="J195" s="22" t="inlineStr"/>
      <c r="K195" s="22" t="inlineStr"/>
      <c r="L195" s="22" t="inlineStr"/>
      <c r="M195" s="22" t="inlineStr"/>
      <c r="N195" s="22" t="inlineStr"/>
      <c r="O195" s="23">
        <f>COUNTIF(H195:N195,"&gt;=3")</f>
        <v/>
      </c>
      <c r="P195" s="24">
        <f>IF(COUNT(H195:N195)=0,"",COUNTIF(H195:N195,"&gt;=3")/COUNT(H195:N195))</f>
        <v/>
      </c>
      <c r="Q195" s="25">
        <f>IF(COUNT(H195:N195)=0,"",AVERAGE(H195:N195))</f>
        <v/>
      </c>
      <c r="R195" s="25">
        <f>IF(COUNT(H195:N195)&lt;2,"",STDEV(H195:N195))</f>
        <v/>
      </c>
      <c r="S195" s="26">
        <f>IF(COUNT(H195:N195)=0,"",COMBIN(COUNT(H195:N195),COUNTIF(H195:N195,"&gt;=3"))*0.5^COUNT(H195:N195))</f>
        <v/>
      </c>
      <c r="T195" s="25">
        <f>IFERROR(IF(P195="","",(P195-S195)/(1-S195)),"")</f>
        <v/>
      </c>
      <c r="U195" s="27">
        <f>IF(P195="","Awaiting",IF(P195&gt;=CVI_PASS,"PASS",IF(P195&gt;=CVI_BORDER,"BORDERLINE","FAIL")))</f>
        <v/>
      </c>
    </row>
    <row r="196">
      <c r="A196" s="9" t="inlineStr">
        <is>
          <t>S047</t>
        </is>
      </c>
      <c r="B196" s="17" t="inlineStr">
        <is>
          <t>Story Vocab</t>
        </is>
      </c>
      <c r="C196" s="18" t="inlineStr">
        <is>
          <t>रोज</t>
        </is>
      </c>
      <c r="D196" s="19" t="inlineStr">
        <is>
          <t>Roz</t>
        </is>
      </c>
      <c r="E196" s="20" t="inlineStr">
        <is>
          <t>Every Day</t>
        </is>
      </c>
      <c r="F196" s="17" t="inlineStr">
        <is>
          <t>Daily Life</t>
        </is>
      </c>
      <c r="G196" s="21" t="inlineStr">
        <is>
          <t>Vocab from "Gaav ki Zindagi"</t>
        </is>
      </c>
      <c r="H196" s="22" t="inlineStr"/>
      <c r="I196" s="22" t="inlineStr"/>
      <c r="J196" s="22" t="inlineStr"/>
      <c r="K196" s="22" t="inlineStr"/>
      <c r="L196" s="22" t="inlineStr"/>
      <c r="M196" s="22" t="inlineStr"/>
      <c r="N196" s="22" t="inlineStr"/>
      <c r="O196" s="23">
        <f>COUNTIF(H196:N196,"&gt;=3")</f>
        <v/>
      </c>
      <c r="P196" s="24">
        <f>IF(COUNT(H196:N196)=0,"",COUNTIF(H196:N196,"&gt;=3")/COUNT(H196:N196))</f>
        <v/>
      </c>
      <c r="Q196" s="25">
        <f>IF(COUNT(H196:N196)=0,"",AVERAGE(H196:N196))</f>
        <v/>
      </c>
      <c r="R196" s="25">
        <f>IF(COUNT(H196:N196)&lt;2,"",STDEV(H196:N196))</f>
        <v/>
      </c>
      <c r="S196" s="26">
        <f>IF(COUNT(H196:N196)=0,"",COMBIN(COUNT(H196:N196),COUNTIF(H196:N196,"&gt;=3"))*0.5^COUNT(H196:N196))</f>
        <v/>
      </c>
      <c r="T196" s="25">
        <f>IFERROR(IF(P196="","",(P196-S196)/(1-S196)),"")</f>
        <v/>
      </c>
      <c r="U196" s="27">
        <f>IF(P196="","Awaiting",IF(P196&gt;=CVI_PASS,"PASS",IF(P196&gt;=CVI_BORDER,"BORDERLINE","FAIL")))</f>
        <v/>
      </c>
    </row>
  </sheetData>
  <conditionalFormatting sqref="U2:U196">
    <cfRule type="expression" priority="1" dxfId="0">
      <formula>$U2="PASS"</formula>
    </cfRule>
    <cfRule type="expression" priority="2" dxfId="1">
      <formula>$U2="BORDERLINE"</formula>
    </cfRule>
    <cfRule type="expression" priority="3" dxfId="2">
      <formula>$U2="FAIL"</formula>
    </cfRule>
    <cfRule type="expression" priority="4" dxfId="3">
      <formula>$U2="Awaiting"</formula>
    </cfRule>
  </conditionalFormatting>
  <conditionalFormatting sqref="P2:P196">
    <cfRule type="expression" priority="5" dxfId="4">
      <formula>AND(P2&lt;&gt;"",P2&gt;=CVI_PASS)</formula>
    </cfRule>
    <cfRule type="expression" priority="6" dxfId="5">
      <formula>AND(P2&lt;&gt;"",P2&gt;=CVI_BORDER,P2&lt;CVI_PASS)</formula>
    </cfRule>
    <cfRule type="expression" priority="7" dxfId="6">
      <formula>AND(P2&lt;&gt;"",P2&lt;CVI_BORDER)</formula>
    </cfRule>
  </conditionalFormatting>
  <dataValidations count="1">
    <dataValidation sqref="H2:N196" showDropDown="0" showInputMessage="0" showErrorMessage="1" allowBlank="1" errorTitle="Invalid rating" error="Please enter 1, 2, 3, or 4 (or leave blank if you did not rate this item)" type="whole" operator="between">
      <formula1>1</formula1>
      <formula2>4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38" customWidth="1" min="3" max="3"/>
    <col width="14" customWidth="1" min="4" max="4"/>
  </cols>
  <sheetData>
    <row r="1" ht="30" customHeight="1">
      <c r="A1" s="1" t="inlineStr">
        <is>
          <t>AwadhVaani — CVI Summary</t>
        </is>
      </c>
    </row>
    <row r="2">
      <c r="A2" s="28" t="inlineStr">
        <is>
          <t>Headline metrics auto-compute as expert ratings are entered</t>
        </is>
      </c>
    </row>
    <row r="4">
      <c r="A4" s="29" t="inlineStr">
        <is>
          <t>HEADLINE METRICS</t>
        </is>
      </c>
    </row>
    <row r="5">
      <c r="A5" s="30" t="inlineStr">
        <is>
          <t>Total items in inventory</t>
        </is>
      </c>
      <c r="B5" s="31">
        <f>COUNTA('Items &amp; Ratings'!A2:A196)</f>
        <v/>
      </c>
    </row>
    <row r="6">
      <c r="A6" s="30" t="inlineStr">
        <is>
          <t>Items with at least one rating</t>
        </is>
      </c>
      <c r="B6" s="31">
        <f>COUNT('Items &amp; Ratings'!P2:P196)</f>
        <v/>
      </c>
    </row>
    <row r="7">
      <c r="A7" s="30" t="inlineStr">
        <is>
          <t>Items with no ratings yet</t>
        </is>
      </c>
      <c r="B7" s="31">
        <f>COUNTIF('Items &amp; Ratings'!U2:U196,"Awaiting")</f>
        <v/>
      </c>
    </row>
    <row r="9">
      <c r="A9" s="30" t="inlineStr">
        <is>
          <t>S-CVI / Ave  (target ≥ 0.90)</t>
        </is>
      </c>
      <c r="B9" s="32">
        <f>IFERROR(AVERAGE('Items &amp; Ratings'!P2:P196),"—")</f>
        <v/>
      </c>
    </row>
    <row r="10">
      <c r="A10" s="30" t="inlineStr">
        <is>
          <t>S-CVI / UA  (target ≥ 0.80)</t>
        </is>
      </c>
      <c r="B10" s="32">
        <f>IF(COUNT('Items &amp; Ratings'!P2:P196)=0,"—",COUNTIF('Items &amp; Ratings'!P2:P196,1)/COUNT('Items &amp; Ratings'!P2:P196))</f>
        <v/>
      </c>
    </row>
    <row r="11">
      <c r="A11" s="30" t="inlineStr">
        <is>
          <t>Mean κ* across items</t>
        </is>
      </c>
      <c r="B11" s="32">
        <f>IFERROR(AVERAGE('Items &amp; Ratings'!T2:T196),"—")</f>
        <v/>
      </c>
    </row>
    <row r="13">
      <c r="A13" s="30" t="inlineStr">
        <is>
          <t>Items PASS (I-CVI ≥ pass threshold)</t>
        </is>
      </c>
      <c r="B13" s="31">
        <f>COUNTIF('Items &amp; Ratings'!U2:U196,"PASS")</f>
        <v/>
      </c>
    </row>
    <row r="14">
      <c r="A14" s="30" t="inlineStr">
        <is>
          <t>Items BORDERLINE</t>
        </is>
      </c>
      <c r="B14" s="31">
        <f>COUNTIF('Items &amp; Ratings'!U2:U196,"BORDERLINE")</f>
        <v/>
      </c>
    </row>
    <row r="15">
      <c r="A15" s="30" t="inlineStr">
        <is>
          <t>Items FAIL</t>
        </is>
      </c>
      <c r="B15" s="31">
        <f>COUNTIF('Items &amp; Ratings'!U2:U196,"FAIL")</f>
        <v/>
      </c>
    </row>
    <row r="17">
      <c r="A17" s="29" t="inlineStr">
        <is>
          <t>BREAKDOWN BY CONTENT TYPE</t>
        </is>
      </c>
    </row>
    <row r="18">
      <c r="A18" s="33" t="inlineStr">
        <is>
          <t>Content Type</t>
        </is>
      </c>
      <c r="B18" s="33" t="inlineStr">
        <is>
          <t>Items</t>
        </is>
      </c>
      <c r="C18" s="33" t="inlineStr">
        <is>
          <t>S-CVI/Ave (this type)</t>
        </is>
      </c>
      <c r="D18" s="33" t="inlineStr">
        <is>
          <t>PASS</t>
        </is>
      </c>
    </row>
    <row r="19">
      <c r="A19" s="30" t="inlineStr">
        <is>
          <t>Vocabulary</t>
        </is>
      </c>
      <c r="B19" s="34">
        <f>COUNTIF('Items &amp; Ratings'!B2:B196,"Vocabulary")</f>
        <v/>
      </c>
      <c r="C19" s="32">
        <f>IFERROR(AVERAGEIFS('Items &amp; Ratings'!P2:P196,'Items &amp; Ratings'!B2:B196,"Vocabulary"),"—")</f>
        <v/>
      </c>
      <c r="D19" s="34">
        <f>COUNTIFS('Items &amp; Ratings'!B2:B196,"Vocabulary",'Items &amp; Ratings'!U2:U196,"PASS")</f>
        <v/>
      </c>
    </row>
    <row r="20">
      <c r="A20" s="30" t="inlineStr">
        <is>
          <t>Lesson Sentence</t>
        </is>
      </c>
      <c r="B20" s="34">
        <f>COUNTIF('Items &amp; Ratings'!B2:B196,"Lesson Sentence")</f>
        <v/>
      </c>
      <c r="C20" s="32">
        <f>IFERROR(AVERAGEIFS('Items &amp; Ratings'!P2:P196,'Items &amp; Ratings'!B2:B196,"Lesson Sentence"),"—")</f>
        <v/>
      </c>
      <c r="D20" s="34">
        <f>COUNTIFS('Items &amp; Ratings'!B2:B196,"Lesson Sentence",'Items &amp; Ratings'!U2:U196,"PASS")</f>
        <v/>
      </c>
    </row>
    <row r="21">
      <c r="A21" s="30" t="inlineStr">
        <is>
          <t>Quiz Item</t>
        </is>
      </c>
      <c r="B21" s="34">
        <f>COUNTIF('Items &amp; Ratings'!B2:B196,"Quiz Item")</f>
        <v/>
      </c>
      <c r="C21" s="32">
        <f>IFERROR(AVERAGEIFS('Items &amp; Ratings'!P2:P196,'Items &amp; Ratings'!B2:B196,"Quiz Item"),"—")</f>
        <v/>
      </c>
      <c r="D21" s="34">
        <f>COUNTIFS('Items &amp; Ratings'!B2:B196,"Quiz Item",'Items &amp; Ratings'!U2:U196,"PASS")</f>
        <v/>
      </c>
    </row>
    <row r="22">
      <c r="A22" s="30" t="inlineStr">
        <is>
          <t>Story Paragraph</t>
        </is>
      </c>
      <c r="B22" s="34">
        <f>COUNTIF('Items &amp; Ratings'!B2:B196,"Story Paragraph")</f>
        <v/>
      </c>
      <c r="C22" s="32">
        <f>IFERROR(AVERAGEIFS('Items &amp; Ratings'!P2:P196,'Items &amp; Ratings'!B2:B196,"Story Paragraph"),"—")</f>
        <v/>
      </c>
      <c r="D22" s="34">
        <f>COUNTIFS('Items &amp; Ratings'!B2:B196,"Story Paragraph",'Items &amp; Ratings'!U2:U196,"PASS")</f>
        <v/>
      </c>
    </row>
    <row r="23">
      <c r="A23" s="30" t="inlineStr">
        <is>
          <t>Story Vocab</t>
        </is>
      </c>
      <c r="B23" s="34">
        <f>COUNTIF('Items &amp; Ratings'!B2:B196,"Story Vocab")</f>
        <v/>
      </c>
      <c r="C23" s="32">
        <f>IFERROR(AVERAGEIFS('Items &amp; Ratings'!P2:P196,'Items &amp; Ratings'!B2:B196,"Story Vocab"),"—")</f>
        <v/>
      </c>
      <c r="D23" s="34">
        <f>COUNTIFS('Items &amp; Ratings'!B2:B196,"Story Vocab",'Items &amp; Ratings'!U2:U196,"PASS")</f>
        <v/>
      </c>
    </row>
    <row r="26">
      <c r="A26" s="29" t="inlineStr">
        <is>
          <t>INTERPRETATION REFERENCE</t>
        </is>
      </c>
    </row>
    <row r="27">
      <c r="A27" s="6" t="inlineStr">
        <is>
          <t>S-CVI/Ave</t>
        </is>
      </c>
      <c r="B27" s="5" t="inlineStr">
        <is>
          <t>≥ 0.90 — Excellent · 0.80–0.89 — Adequate · &lt; 0.80 — Revise</t>
        </is>
      </c>
      <c r="C27" s="35" t="n"/>
      <c r="D27" s="36" t="n"/>
    </row>
    <row r="28">
      <c r="A28" s="6" t="inlineStr">
        <is>
          <t>S-CVI/UA</t>
        </is>
      </c>
      <c r="B28" s="5" t="inlineStr">
        <is>
          <t>≥ 0.80 — Strict universal-agreement target met</t>
        </is>
      </c>
      <c r="C28" s="35" t="n"/>
      <c r="D28" s="36" t="n"/>
    </row>
    <row r="29">
      <c r="A29" s="6" t="inlineStr">
        <is>
          <t>Mean κ*</t>
        </is>
      </c>
      <c r="B29" s="5" t="inlineStr">
        <is>
          <t>&gt; 0.74 Excellent · 0.60–0.74 Good · 0.40–0.59 Fair · &lt; 0.40 Poor</t>
        </is>
      </c>
      <c r="C29" s="35" t="n"/>
      <c r="D29" s="36" t="n"/>
    </row>
    <row r="30">
      <c r="A30" s="6" t="inlineStr">
        <is>
          <t>I-CVI item</t>
        </is>
      </c>
      <c r="B30" s="5" t="inlineStr">
        <is>
          <t>≥ 0.78 (N=6–10) or ≥ 0.83 (N=3–5) — PASS</t>
        </is>
      </c>
      <c r="C30" s="35" t="n"/>
      <c r="D30" s="36" t="n"/>
    </row>
  </sheetData>
  <mergeCells count="4">
    <mergeCell ref="B29:D29"/>
    <mergeCell ref="B27:D27"/>
    <mergeCell ref="B30:D30"/>
    <mergeCell ref="B28:D28"/>
  </mergeCells>
  <conditionalFormatting sqref="B8">
    <cfRule type="expression" priority="1" dxfId="0">
      <formula>AND(ISNUMBER(B8),B8&gt;=0.9)</formula>
    </cfRule>
    <cfRule type="expression" priority="2" dxfId="1">
      <formula>AND(ISNUMBER(B8),B8&gt;=0.8,B8&lt;0.9)</formula>
    </cfRule>
    <cfRule type="expression" priority="3" dxfId="2">
      <formula>AND(ISNUMBER(B8),B8&lt;0.8)</formula>
    </cfRule>
  </conditionalFormatting>
  <conditionalFormatting sqref="B9">
    <cfRule type="expression" priority="4" dxfId="0">
      <formula>AND(ISNUMBER(B9),B9&gt;=0.8)</formula>
    </cfRule>
    <cfRule type="expression" priority="5" dxfId="1">
      <formula>AND(ISNUMBER(B9),B9&lt;0.8)</formula>
    </cfRule>
  </conditionalFormatting>
  <conditionalFormatting sqref="B10">
    <cfRule type="expression" priority="6" dxfId="0">
      <formula>AND(ISNUMBER(B10),B10&gt;=0.74)</formula>
    </cfRule>
    <cfRule type="expression" priority="7" dxfId="1">
      <formula>AND(ISNUMBER(B10),B10&gt;=0.60,B10&lt;0.74)</formula>
    </cfRule>
    <cfRule type="expression" priority="8" dxfId="2">
      <formula>AND(ISNUMBER(B10),B10&lt;0.60)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22" customWidth="1" min="4" max="4"/>
    <col width="16" customWidth="1" min="5" max="5"/>
    <col width="28" customWidth="1" min="6" max="6"/>
    <col width="28" customWidth="1" min="7" max="7"/>
  </cols>
  <sheetData>
    <row r="1" ht="26" customHeight="1">
      <c r="A1" s="33" t="inlineStr">
        <is>
          <t>Expert ID</t>
        </is>
      </c>
      <c r="B1" s="33" t="inlineStr">
        <is>
          <t>Name</t>
        </is>
      </c>
      <c r="C1" s="33" t="inlineStr">
        <is>
          <t>Affiliation</t>
        </is>
      </c>
      <c r="D1" s="33" t="inlineStr">
        <is>
          <t>Background</t>
        </is>
      </c>
      <c r="E1" s="33" t="inlineStr">
        <is>
          <t>Years of Awadhi Experience</t>
        </is>
      </c>
      <c r="F1" s="33" t="inlineStr">
        <is>
          <t>Region / Sub-dialect Familiarity</t>
        </is>
      </c>
      <c r="G1" s="33" t="inlineStr">
        <is>
          <t>Email</t>
        </is>
      </c>
    </row>
    <row r="2" ht="26" customHeight="1">
      <c r="A2" s="4" t="inlineStr">
        <is>
          <t>E1</t>
        </is>
      </c>
      <c r="B2" s="37" t="inlineStr"/>
      <c r="C2" s="37" t="inlineStr"/>
      <c r="D2" s="37" t="inlineStr"/>
      <c r="E2" s="37" t="inlineStr"/>
      <c r="F2" s="37" t="inlineStr"/>
      <c r="G2" s="37" t="inlineStr"/>
    </row>
    <row r="3" ht="26" customHeight="1">
      <c r="A3" s="4" t="inlineStr">
        <is>
          <t>E2</t>
        </is>
      </c>
      <c r="B3" s="37" t="inlineStr"/>
      <c r="C3" s="37" t="inlineStr"/>
      <c r="D3" s="37" t="inlineStr"/>
      <c r="E3" s="37" t="inlineStr"/>
      <c r="F3" s="37" t="inlineStr"/>
      <c r="G3" s="37" t="inlineStr"/>
    </row>
    <row r="4" ht="26" customHeight="1">
      <c r="A4" s="4" t="inlineStr">
        <is>
          <t>E3</t>
        </is>
      </c>
      <c r="B4" s="37" t="inlineStr"/>
      <c r="C4" s="37" t="inlineStr"/>
      <c r="D4" s="37" t="inlineStr"/>
      <c r="E4" s="37" t="inlineStr"/>
      <c r="F4" s="37" t="inlineStr"/>
      <c r="G4" s="37" t="inlineStr"/>
    </row>
    <row r="5" ht="26" customHeight="1">
      <c r="A5" s="4" t="inlineStr">
        <is>
          <t>E4</t>
        </is>
      </c>
      <c r="B5" s="37" t="inlineStr"/>
      <c r="C5" s="37" t="inlineStr"/>
      <c r="D5" s="37" t="inlineStr"/>
      <c r="E5" s="37" t="inlineStr"/>
      <c r="F5" s="37" t="inlineStr"/>
      <c r="G5" s="37" t="inlineStr"/>
    </row>
    <row r="6" ht="26" customHeight="1">
      <c r="A6" s="4" t="inlineStr">
        <is>
          <t>E5</t>
        </is>
      </c>
      <c r="B6" s="37" t="inlineStr"/>
      <c r="C6" s="37" t="inlineStr"/>
      <c r="D6" s="37" t="inlineStr"/>
      <c r="E6" s="37" t="inlineStr"/>
      <c r="F6" s="37" t="inlineStr"/>
      <c r="G6" s="37" t="inlineStr"/>
    </row>
    <row r="7" ht="26" customHeight="1">
      <c r="A7" s="4" t="inlineStr">
        <is>
          <t>E6</t>
        </is>
      </c>
      <c r="B7" s="37" t="inlineStr"/>
      <c r="C7" s="37" t="inlineStr"/>
      <c r="D7" s="37" t="inlineStr"/>
      <c r="E7" s="37" t="inlineStr"/>
      <c r="F7" s="37" t="inlineStr"/>
      <c r="G7" s="37" t="inlineStr"/>
    </row>
    <row r="8" ht="26" customHeight="1">
      <c r="A8" s="4" t="inlineStr">
        <is>
          <t>E7</t>
        </is>
      </c>
      <c r="B8" s="37" t="inlineStr"/>
      <c r="C8" s="37" t="inlineStr"/>
      <c r="D8" s="37" t="inlineStr"/>
      <c r="E8" s="37" t="inlineStr"/>
      <c r="F8" s="37" t="inlineStr"/>
      <c r="G8" s="37" t="inlineStr"/>
    </row>
    <row r="11">
      <c r="A11" s="3" t="inlineStr">
        <is>
          <t>PARAMETERS</t>
        </is>
      </c>
    </row>
    <row r="12">
      <c r="A12" s="6" t="inlineStr">
        <is>
          <t>Total experts (N)</t>
        </is>
      </c>
      <c r="B12" s="38" t="n">
        <v>7</v>
      </c>
    </row>
    <row r="13">
      <c r="A13" s="6" t="inlineStr">
        <is>
          <t>I-CVI pass threshold</t>
        </is>
      </c>
      <c r="B13" s="39" t="n">
        <v>0.78</v>
      </c>
    </row>
    <row r="14">
      <c r="A14" s="6" t="inlineStr">
        <is>
          <t>I-CVI borderline floor</t>
        </is>
      </c>
      <c r="B14" s="39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2026-06-04T11:14:21Z</dcterms:created>
  <dcterms:modified xsi:type="dcterms:W3CDTF">2026-06-04T11:14:21Z</dcterms:modified>
</cp:coreProperties>
</file>